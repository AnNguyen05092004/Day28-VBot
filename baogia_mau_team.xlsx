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Dan" sheetId="1" state="visible" r:id="rId1"/>
    <sheet name="BaoGia" sheetId="2" state="visible" r:id="rId2"/>
    <sheet name="BangChung" sheetId="3" state="visible" r:id="rId3"/>
    <sheet name="Siz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#,##0.0"/>
  </numFmts>
  <fonts count="8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C00000"/>
    </font>
    <font>
      <b val="1"/>
      <color rgb="00FFFFFF"/>
    </font>
    <font>
      <b val="1"/>
    </font>
    <font>
      <i val="1"/>
    </font>
    <font>
      <b val="1"/>
      <color rgb="00C00000"/>
    </font>
    <font>
      <b val="1"/>
      <color rgb="001F4E78"/>
      <sz val="14"/>
    </font>
  </fonts>
  <fills count="9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EDEDED"/>
        <bgColor rgb="00EDEDED"/>
      </patternFill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5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0" borderId="0" pivotButton="0" quotePrefix="0" xfId="0"/>
    <xf numFmtId="4" fontId="0" fillId="2" borderId="1" applyAlignment="1" pivotButton="0" quotePrefix="0" xfId="0">
      <alignment vertical="top" wrapText="1"/>
    </xf>
    <xf numFmtId="4" fontId="0" fillId="6" borderId="1" applyAlignment="1" pivotButton="0" quotePrefix="0" xfId="0">
      <alignment vertical="top" wrapText="1"/>
    </xf>
    <xf numFmtId="4" fontId="0" fillId="7" borderId="1" applyAlignment="1" pivotButton="0" quotePrefix="0" xfId="0">
      <alignment vertical="top" wrapText="1"/>
    </xf>
    <xf numFmtId="0" fontId="4" fillId="8" borderId="1" pivotButton="0" quotePrefix="0" xfId="0"/>
    <xf numFmtId="0" fontId="0" fillId="8" borderId="1" pivotButton="0" quotePrefix="0" xfId="0"/>
    <xf numFmtId="4" fontId="4" fillId="8" borderId="1" pivotButton="0" quotePrefix="0" xfId="0"/>
    <xf numFmtId="0" fontId="0" fillId="2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3" fontId="0" fillId="2" borderId="1" pivotButton="0" quotePrefix="0" xfId="0"/>
    <xf numFmtId="0" fontId="0" fillId="0" borderId="0" applyAlignment="1" pivotButton="0" quotePrefix="0" xfId="0">
      <alignment/>
    </xf>
    <xf numFmtId="0" fontId="0" fillId="3" borderId="1" pivotButton="0" quotePrefix="0" xfId="0"/>
    <xf numFmtId="0" fontId="0" fillId="4" borderId="1" pivotButton="0" quotePrefix="0" xfId="0"/>
    <xf numFmtId="3" fontId="0" fillId="3" borderId="1" pivotButton="0" quotePrefix="0" xfId="0"/>
    <xf numFmtId="2" fontId="0" fillId="3" borderId="1" pivotButton="0" quotePrefix="0" xfId="0"/>
    <xf numFmtId="9" fontId="0" fillId="4" borderId="1" pivotButton="0" quotePrefix="0" xfId="0"/>
    <xf numFmtId="164" fontId="0" fillId="3" borderId="0" pivotButton="0" quotePrefix="0" xfId="0"/>
    <xf numFmtId="164" fontId="0" fillId="4" borderId="1" pivotButton="0" quotePrefix="0" xfId="0"/>
    <xf numFmtId="165" fontId="0" fillId="4" borderId="1" pivotButton="0" quotePrefix="0" xfId="0"/>
    <xf numFmtId="3" fontId="0" fillId="4" borderId="1" pivotButton="0" quotePrefix="0" xfId="0"/>
    <xf numFmtId="166" fontId="0" fillId="3" borderId="1" pivotButton="0" quotePrefix="0" xfId="0"/>
    <xf numFmtId="4" fontId="0" fillId="3" borderId="1" pivotButton="0" quotePrefix="0" xfId="0"/>
    <xf numFmtId="9" fontId="4" fillId="3" borderId="0" pivotButton="0" quotePrefix="0" xfId="0"/>
    <xf numFmtId="3" fontId="4" fillId="3" borderId="0" pivotButton="0" quotePrefix="0" xfId="0"/>
    <xf numFmtId="166" fontId="4" fillId="3" borderId="0" pivotButton="0" quotePrefix="0" xfId="0"/>
    <xf numFmtId="4" fontId="4" fillId="3" borderId="0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VBot team</author>
  </authors>
  <commentList>
    <comment ref="C2" authorId="0" shapeId="0">
      <text>
        <t>[A – Lead + Cloud/HA] Gợi ý: 2 cụm × 730 giờ × &lt;đơn giá/giờ&gt;. Ghi region.</t>
      </text>
    </comment>
    <comment ref="C3" authorId="0" shapeId="0">
      <text>
        <t>[A – Lead + Cloud/HA] Gợi ý: Loại máy (vCPU/RAM), N node trải 2 AZ; baseline 730h + autoscale giờ hành chính 220h; reserved/savings plan nếu có.</t>
      </text>
    </comment>
    <comment ref="C4" authorId="0" shapeId="0">
      <text>
        <t>[A – Lead + Cloud/HA] Gợi ý: Ví dụ 1–2 node × 220 giờ × &lt;đơn giá&gt;. Ghi chữ "staging".</t>
      </text>
    </comment>
    <comment ref="C5" authorId="0" shapeId="0">
      <text>
        <t>[A – Lead + Cloud/HA] Gợi ý: Phí giờ × 730 + phí theo LCU/GB xử lý (lấy từ Sizing: request, egress).</t>
      </text>
    </comment>
    <comment ref="C6" authorId="0" shapeId="0">
      <text>
        <t>[A – Lead + Cloud/HA] Gợi ý: 2 NAT (2 AZ) × 730h × &lt;đơn giá&gt; + GB xử lý (Sizing mục 10).</t>
      </text>
    </comment>
    <comment ref="C7" authorId="0" shapeId="0">
      <text>
        <t>[A – Lead + Cloud/HA] Gợi ý: Số endpoint × số AZ × 730h × &lt;đơn giá&gt; + GB.</t>
      </text>
    </comment>
    <comment ref="C8" authorId="0" shapeId="0">
      <text>
        <t>[A – Lead + Cloud/HA] Gợi ý: Phí policy + rule + phí theo triệu request; egress GB × đơn giá.</t>
      </text>
    </comment>
    <comment ref="C9" authorId="0" shapeId="0">
      <text>
        <t>[A – Lead + Cloud/HA] Gợi ý: Snapshot/PITR, GB backup × đơn giá, copy cross-region; ghi lịch diễn tập khôi phục.</t>
      </text>
    </comment>
    <comment ref="C10" authorId="0" shapeId="0">
      <text>
        <t>[A – Lead + Cloud/HA] Gợi ý: GB ingest/tháng (Sizing mục 9) × đơn giá + lưu trữ; dashboard, cảnh báo ngân sách.</t>
      </text>
    </comment>
    <comment ref="C11" authorId="0" shapeId="0">
      <text>
        <t>[A – Lead + Cloud/HA] Gợi ý: GB giữ 12 tháng × đơn giá lớp lưu trữ lạnh.</t>
      </text>
    </comment>
    <comment ref="C12" authorId="0" shapeId="0">
      <text>
        <t>[A – Lead + Cloud/HA] Gợi ý: Phút build × đơn giá + GB registry. Có thể "nằm trong" dịch vụ khác nếu chi phí 0.</t>
      </text>
    </comment>
    <comment ref="C13" authorId="0" shapeId="0">
      <text>
        <t>[A – Lead + Cloud/HA] Gợi ý: Số FTE × chi phí/tháng; ca trực; phụ trách gì. Hội đồng sẽ hỏi kỹ.</t>
      </text>
    </comment>
    <comment ref="C14" authorId="0" shapeId="0">
      <text>
        <t>[A – Lead + Cloud/HA] Gợi ý: Gói support, cách tính (% hóa đơn hoặc mức tối thiểu).</t>
      </text>
    </comment>
    <comment ref="C15" authorId="0" shapeId="0">
      <text>
        <t>[B – Model + AI governance] Gợi ý: Tên model, region, kênh không lưu dữ liệu. Triệu token vào × giá + triệu token ra × giá (Sizing mục 4–5), cache hit 30%.</t>
      </text>
    </comment>
    <comment ref="C16" authorId="0" shapeId="0">
      <text>
        <t>[B – Model + AI governance] Gợi ý: Như trên; nêu model tham chiếu cho H8 (≥95% điểm).</t>
      </text>
    </comment>
    <comment ref="C17" authorId="0" shapeId="0">
      <text>
        <t>[B – Model + AI governance] Gợi ý: Số ảnh/tháng × giá/ảnh, ghi độ phân giải.</t>
      </text>
    </comment>
    <comment ref="C18" authorId="0" shapeId="0">
      <text>
        <t>[B – Model + AI governance] Gợi ý: Triệu token/tháng × giá; index lần đầu chia 12 tháng, 10% tài liệu đổi mỗi tháng.</t>
      </text>
    </comment>
    <comment ref="C19" authorId="0" shapeId="0">
      <text>
        <t>[B – Model + AI governance] Gợi ý: Tự host (ví dụ LiteLLM) → ghi "nằm trong compute" và để 0; hoặc dịch vụ managed: đơn giá × số request.</t>
      </text>
    </comment>
    <comment ref="C20" authorId="0" shapeId="0">
      <text>
        <t>[B – Model + AI governance] Gợi ý: Triệu request/tháng × đơn giá, hoặc "nằm trong" LB/gateway khác.</t>
      </text>
    </comment>
    <comment ref="C21" authorId="0" shapeId="0">
      <text>
        <t>[B – Model + AI governance] Gợi ý: LLM nhỏ làm guardrail (Sizing mục 6) hoặc dịch vụ managed theo đơn giá.</t>
      </text>
    </comment>
    <comment ref="C22" authorId="0" shapeId="0">
      <text>
        <t>[B – Model + AI governance] Gợi ý: Dịch vụ DLP: GB quét × đơn giá, hoặc tự host (Presidio) "nằm trong compute".</t>
      </text>
    </comment>
    <comment ref="C23" authorId="0" shapeId="0">
      <text>
        <t>[B – Model + AI governance] Gợi ý: Số lần chạy × số case × token × giá model lớn (Sizing mục 6).</t>
      </text>
    </comment>
    <comment ref="C24" authorId="0" shapeId="0">
      <text>
        <t>[C – Data + Sandbox + Identity] Gợi ý: Số lệnh gọi/tháng (Sizing mục 10). Phí API SaaS (nếu có) hoặc "nằm trong compute" với worker chạy trên node pool app.</t>
      </text>
    </comment>
    <comment ref="C25" authorId="0" shapeId="0">
      <text>
        <t>[C – Data + Sandbox + Identity] Gợi ý: Loại instance × 2 (primary + standby) × 730h + GB lưu trữ (Sizing mục 9).</t>
      </text>
    </comment>
    <comment ref="C26" authorId="0" shapeId="0">
      <text>
        <t>[C – Data + Sandbox + Identity] Gợi ý: Instance nhỏ × 220h hoặc 730h. Ghi chữ "staging".</t>
      </text>
    </comment>
    <comment ref="C27" authorId="0" shapeId="0">
      <text>
        <t>[C – Data + Sandbox + Identity] Gợi ý: pgvector trong DB chính → "nằm trong database" (0), hoặc dịch vụ vector managed: số vector (Sizing mục 7) × đơn giá.</t>
      </text>
    </comment>
    <comment ref="C28" authorId="0" shapeId="0">
      <text>
        <t>[C – Data + Sandbox + Identity] Gợi ý: GB thực dùng (Sizing mục 9) × đơn giá + request; lifecycle sang lớp lạnh.</t>
      </text>
    </comment>
    <comment ref="C29" authorId="0" shapeId="0">
      <text>
        <t>[C – Data + Sandbox + Identity] Gợi ý: Node × 2 (replica) × 730h × đơn giá.</t>
      </text>
    </comment>
    <comment ref="C30" authorId="0" shapeId="0">
      <text>
        <t>[C – Data + Sandbox + Identity] Gợi ý: Triệu message/tháng × đơn giá.</t>
      </text>
    </comment>
    <comment ref="C31" authorId="0" shapeId="0">
      <text>
        <t>[C – Data + Sandbox + Identity] Gợi ý: N node (Sizing mục 8) × giờ × đơn giá; giới hạn CPU/RAM/thời gian; staging dùng chung pool nhỏ.</t>
      </text>
    </comment>
    <comment ref="C32" authorId="0" shapeId="0">
      <text>
        <t>[C – Data + Sandbox + Identity] Gợi ý: IdP sẵn có của tập đoàn → ghi "nằm trong" license IdP hiện có (0), hoặc dịch vụ IdP: MAU × đơn giá.</t>
      </text>
    </comment>
    <comment ref="C33" authorId="0" shapeId="0">
      <text>
        <t>[C – Data + Sandbox + Identity] Gợi ý: Tự host (OPA) → "nằm trong compute"; hoặc dịch vụ managed: số lần kiểm quyền × đơn giá.</t>
      </text>
    </comment>
    <comment ref="C34" authorId="0" shapeId="0">
      <text>
        <t>[C – Data + Sandbox + Identity] Gợi ý: Số khóa × đơn giá + số secret × đơn giá + lệnh gọi API.</t>
      </text>
    </comment>
    <comment ref="C35" authorId="0" shapeId="0">
      <text>
        <t>[A – Lead + Cloud/HA] Gợi ý: Tùy chọn: xóa dòng nếu không cần (thêm tiền = giảm điểm chi phí).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52" customWidth="1" min="4" max="4"/>
    <col width="34" customWidth="1" min="5" max="5"/>
    <col width="34" customWidth="1" min="6" max="6"/>
    <col width="34" customWidth="1" min="7" max="7"/>
    <col width="46" customWidth="1" min="8" max="8"/>
  </cols>
  <sheetData>
    <row r="1">
      <c r="A1" s="1" t="inlineStr">
        <is>
          <t>VBot – File báo giá chung của team (Lab28)</t>
        </is>
      </c>
    </row>
    <row r="2">
      <c r="A2" t="inlineStr">
        <is>
          <t>Sheet nộp bài: BaoGia + BangChung. Sheet Sizing và HuongDan là sheet phụ, công cụ kiểm tra bỏ qua.</t>
        </is>
      </c>
    </row>
    <row r="3">
      <c r="A3" t="inlineStr"/>
    </row>
    <row r="4">
      <c r="A4" s="2" t="inlineStr">
        <is>
          <t>QUY TRÌNH</t>
        </is>
      </c>
    </row>
    <row r="5">
      <c r="A5" t="inlineStr">
        <is>
          <t>1. Upload file lên Google Drive → mở bằng Google Sheets → share quyền sửa cho cả team.</t>
        </is>
      </c>
    </row>
    <row r="6">
      <c r="A6" t="inlineStr">
        <is>
          <t>2. B điền sheet Sizing trước (giả định + giá model). Các dòng llm, embedding, governance ở BaoGia tự lấy số từ Sizing; ở cột Bằng chứng các dòng đó ghi cùng mã ảnh đã dùng trong Sizing.</t>
        </is>
      </c>
    </row>
    <row r="7">
      <c r="A7" t="inlineStr">
        <is>
          <t>3. Mỗi người điền các dòng mang màu của mình ở BaoGia: cột Ghi chú (xem comment gợi ý ở từng ô), Chi phí, Bằng chứng.</t>
        </is>
      </c>
    </row>
    <row r="8">
      <c r="A8" t="inlineStr">
        <is>
          <t>4. Lấy giá xong → chụp ảnh NGAY (thấy tên dịch vụ, SKU, region, đơn giá) → dán vào sheet BangChung đúng dải mã của mình.</t>
        </is>
      </c>
    </row>
    <row r="9">
      <c r="A9" t="inlineStr">
        <is>
          <t>5. Cần thêm dòng: chèn dòng mới PHÍA TRÊN dòng TOTAL, chọn Component từ dropdown. Dòng TOTAL luôn ở cuối.</t>
        </is>
      </c>
    </row>
    <row r="10">
      <c r="A10" t="inlineStr">
        <is>
          <t>6. Tải về: Tệp › Tải xuống › Microsoft Excel (.xlsx) → kéo vào công cụ kiểm tra trong vbot-capstone.html → sửa đến khi ĐẠT.</t>
        </is>
      </c>
    </row>
    <row r="11">
      <c r="A11" t="inlineStr">
        <is>
          <t>7. Đổi tên G&lt;mã nhóm&gt;_baogia.xlsx. Tổng trên slide = dòng TOTAL.</t>
        </is>
      </c>
    </row>
    <row r="12">
      <c r="A12" t="inlineStr"/>
    </row>
    <row r="13">
      <c r="A13" s="2" t="inlineStr">
        <is>
          <t>QUY TẮC (công cụ kiểm tra bắt lỗi)</t>
        </is>
      </c>
    </row>
    <row r="14">
      <c r="A14" s="3" t="inlineStr">
        <is>
          <t>• KHÔNG viết các chữ: free tier, trial, free credit, miễn phí, dùng thử, khuyến mãi, startup credit – ở BaoGia, kể cả câu phủ định và trong link.</t>
        </is>
      </c>
    </row>
    <row r="15">
      <c r="A15" t="inlineStr">
        <is>
          <t>• Chi phí chỉ là số (1250.5), không $, không dấu phẩy hàng nghìn. Bằng 0 chỉ khi Ghi chú có chữ "nằm trong &lt;dịch vụ&gt;".</t>
        </is>
      </c>
    </row>
    <row r="16">
      <c r="A16" t="inlineStr">
        <is>
          <t>• Ghi chú ≥ 15 ký tự, có số: dịch vụ/SKU, region, đơn giá × số lượng, giả định (HA, staging).</t>
        </is>
      </c>
    </row>
    <row r="17">
      <c r="A17" t="inlineStr">
        <is>
          <t>• Bằng chứng: link http(s) hoặc mã E01…, nhiều mục cách nhau bằng ";". ops_labor và contingency ghi NA.</t>
        </is>
      </c>
    </row>
    <row r="18">
      <c r="A18" t="inlineStr">
        <is>
          <t>• Không thêm cột, không ghi gì ngoài 5 cột A–E ở BaoGia. Xóa mã bằng chứng không dùng ở BangChung (nếu không sẽ có cảnh báo).</t>
        </is>
      </c>
    </row>
    <row r="19">
      <c r="A19" t="inlineStr">
        <is>
          <t>• Giá: niêm yết công khai, USD chưa VAT. Reserved/savings plan được dùng nếu ghi rõ và quy về tháng. 24/7 = 730h, giờ hành chính = 220h.</t>
        </is>
      </c>
    </row>
    <row r="20">
      <c r="A20" t="inlineStr"/>
    </row>
    <row r="21">
      <c r="A21" s="2" t="inlineStr">
        <is>
          <t>PHÂN CÔNG (điền tên)</t>
        </is>
      </c>
    </row>
    <row r="22">
      <c r="A22" s="4" t="inlineStr">
        <is>
          <t>A – Lead + Cloud/HA</t>
        </is>
      </c>
      <c r="C22" s="5" t="inlineStr">
        <is>
          <t xml:space="preserve">Tên: </t>
        </is>
      </c>
      <c r="D22" t="inlineStr">
        <is>
          <t>Mã bằng chứng: E01–E29</t>
        </is>
      </c>
    </row>
    <row r="23">
      <c r="A23" s="6" t="inlineStr">
        <is>
          <t>B – Model + AI governance</t>
        </is>
      </c>
      <c r="C23" s="5" t="inlineStr">
        <is>
          <t xml:space="preserve">Tên: </t>
        </is>
      </c>
      <c r="D23" t="inlineStr">
        <is>
          <t>Mã bằng chứng: E30–E59</t>
        </is>
      </c>
    </row>
    <row r="24">
      <c r="A24" s="7" t="inlineStr">
        <is>
          <t>C – Data + Sandbox + Identity</t>
        </is>
      </c>
      <c r="C24" s="5" t="inlineStr">
        <is>
          <t xml:space="preserve">Tên: </t>
        </is>
      </c>
      <c r="D24" t="inlineStr">
        <is>
          <t>Mã bằng chứng: E60–E89</t>
        </is>
      </c>
    </row>
    <row r="26">
      <c r="A26" s="2" t="inlineStr">
        <is>
          <t>HƯỚNG DẪN TỪNG COMPONENT (★ = bắt buộc trong đề)</t>
        </is>
      </c>
    </row>
    <row r="27">
      <c r="A27" s="8" t="inlineStr">
        <is>
          <t>Component</t>
        </is>
      </c>
      <c r="B27" s="8" t="inlineStr">
        <is>
          <t>Người</t>
        </is>
      </c>
      <c r="C27" s="8" t="inlineStr">
        <is>
          <t>Đề yêu cầu ghi</t>
        </is>
      </c>
      <c r="D27" s="8" t="inlineStr">
        <is>
          <t>Cần quyết định / tính</t>
        </is>
      </c>
      <c r="E27" s="8" t="inlineStr">
        <is>
          <t>Gợi ý AWS</t>
        </is>
      </c>
      <c r="F27" s="8" t="inlineStr">
        <is>
          <t>Gợi ý Google Cloud</t>
        </is>
      </c>
      <c r="G27" s="8" t="inlineStr">
        <is>
          <t>Gợi ý Azure</t>
        </is>
      </c>
      <c r="H27" s="8" t="inlineStr">
        <is>
          <t>Đòn bẩy tiết kiệm</t>
        </is>
      </c>
    </row>
    <row r="28">
      <c r="A28" s="9" t="inlineStr">
        <is>
          <t>compute ★</t>
        </is>
      </c>
      <c r="B28" s="9" t="inlineStr">
        <is>
          <t>A</t>
        </is>
      </c>
      <c r="C28" s="10" t="inlineStr">
        <is>
          <t>Loại máy hoặc node, số lượng, autoscale theo giờ hành chính</t>
        </is>
      </c>
      <c r="D28" s="10" t="inlineStr">
        <is>
          <t>Số node app từ RPS cao điểm; prod 2 AZ; staging nhỏ</t>
        </is>
      </c>
      <c r="E28" s="10" t="inlineStr">
        <is>
          <t>EKS + EC2</t>
        </is>
      </c>
      <c r="F28" s="10" t="inlineStr">
        <is>
          <t>GKE + Compute Engine</t>
        </is>
      </c>
      <c r="G28" s="10" t="inlineStr">
        <is>
          <t>AKS + VM</t>
        </is>
      </c>
      <c r="H28" s="10" t="inlineStr">
        <is>
          <t>Scale xuống ngoài giờ (220h); savings plan cho baseline; ARM (Graviton/Axion)</t>
        </is>
      </c>
    </row>
    <row r="29">
      <c r="A29" s="9" t="inlineStr">
        <is>
          <t>load_balancer ★</t>
        </is>
      </c>
      <c r="B29" s="9" t="inlineStr">
        <is>
          <t>A</t>
        </is>
      </c>
      <c r="C29" s="10" t="inlineStr">
        <is>
          <t>Loại LB, TLS, health check, đặt trước thành phần nào</t>
        </is>
      </c>
      <c r="D29" s="10" t="inlineStr">
        <is>
          <t>LB L7 multi-AZ trước gateway</t>
        </is>
      </c>
      <c r="E29" s="10" t="inlineStr">
        <is>
          <t>Application Load Balancer</t>
        </is>
      </c>
      <c r="F29" s="10" t="inlineStr">
        <is>
          <t>Cloud Load Balancing</t>
        </is>
      </c>
      <c r="G29" s="10" t="inlineStr">
        <is>
          <t>Application Gateway</t>
        </is>
      </c>
      <c r="H29" s="10" t="inlineStr">
        <is>
          <t>Dùng 1 LB cho nhiều service (path routing)</t>
        </is>
      </c>
    </row>
    <row r="30">
      <c r="A30" s="9" t="inlineStr">
        <is>
          <t>network ★</t>
        </is>
      </c>
      <c r="B30" s="9" t="inlineStr">
        <is>
          <t>A</t>
        </is>
      </c>
      <c r="C30" s="10" t="inlineStr">
        <is>
          <t>Subnet riêng, kiểm soát egress, WAF, private endpoint tới API model</t>
        </is>
      </c>
      <c r="D30" s="10" t="inlineStr">
        <is>
          <t>NAT mỗi AZ, private endpoint, WAF, egress GB</t>
        </is>
      </c>
      <c r="E30" s="10" t="inlineStr">
        <is>
          <t>NAT Gateway, PrivateLink, AWS WAF</t>
        </is>
      </c>
      <c r="F30" s="10" t="inlineStr">
        <is>
          <t>Cloud NAT, Private Service Connect, Cloud Armor</t>
        </is>
      </c>
      <c r="G30" s="10" t="inlineStr">
        <is>
          <t>NAT Gateway, Private Link, Azure WAF</t>
        </is>
      </c>
      <c r="H30" s="10" t="inlineStr">
        <is>
          <t>Gom egress qua ít NAT; endpoint chỉ cho dịch vụ cần</t>
        </is>
      </c>
    </row>
    <row r="31">
      <c r="A31" s="9" t="inlineStr">
        <is>
          <t>backup_dr ★</t>
        </is>
      </c>
      <c r="B31" s="9" t="inlineStr">
        <is>
          <t>A</t>
        </is>
      </c>
      <c r="C31" s="10" t="inlineStr">
        <is>
          <t>Lịch backup, nơi lưu, RTO và RPO, diễn tập khôi phục</t>
        </is>
      </c>
      <c r="D31" s="10" t="inlineStr">
        <is>
          <t>PITR DB (RPO 1h), copy cross-region, test restore hằng tháng</t>
        </is>
      </c>
      <c r="E31" s="10" t="inlineStr">
        <is>
          <t>AWS Backup, S3 cross-region</t>
        </is>
      </c>
      <c r="F31" s="10" t="inlineStr">
        <is>
          <t>Backup and DR, GCS dual-region</t>
        </is>
      </c>
      <c r="G31" s="10" t="inlineStr">
        <is>
          <t>Azure Backup, GRS</t>
        </is>
      </c>
      <c r="H31" s="10" t="inlineStr">
        <is>
          <t>Warm standby nhỏ hoặc chỉ backup (RTO 4h cho phép restore)</t>
        </is>
      </c>
    </row>
    <row r="32">
      <c r="A32" s="9" t="inlineStr">
        <is>
          <t>monitoring ★</t>
        </is>
      </c>
      <c r="B32" s="9" t="inlineStr">
        <is>
          <t>A</t>
        </is>
      </c>
      <c r="C32" s="10" t="inlineStr">
        <is>
          <t>Đo gì, cảnh báo gì, chi phí theo user và đơn vị</t>
        </is>
      </c>
      <c r="D32" s="10" t="inlineStr">
        <is>
          <t>GB log/tháng, audit 12 tháng, dashboard FinOps</t>
        </is>
      </c>
      <c r="E32" s="10" t="inlineStr">
        <is>
          <t>CloudWatch</t>
        </is>
      </c>
      <c r="F32" s="10" t="inlineStr">
        <is>
          <t>Cloud Logging + Monitoring</t>
        </is>
      </c>
      <c r="G32" s="10" t="inlineStr">
        <is>
          <t>Azure Monitor + Log Analytics</t>
        </is>
      </c>
      <c r="H32" s="10" t="inlineStr">
        <is>
          <t>Sampling log, chuyển audit sang object storage lạnh</t>
        </is>
      </c>
    </row>
    <row r="33">
      <c r="A33" s="9" t="inlineStr">
        <is>
          <t>cicd ★</t>
        </is>
      </c>
      <c r="B33" s="9" t="inlineStr">
        <is>
          <t>A</t>
        </is>
      </c>
      <c r="C33" s="10" t="inlineStr">
        <is>
          <t>Pipeline, registry, IaC, môi trường staging</t>
        </is>
      </c>
      <c r="D33" s="10" t="inlineStr">
        <is>
          <t>Pipeline, registry, Terraform, staging</t>
        </is>
      </c>
      <c r="E33" s="10" t="inlineStr">
        <is>
          <t>CodeBuild/GitHub Actions + ECR</t>
        </is>
      </c>
      <c r="F33" s="10" t="inlineStr">
        <is>
          <t>Cloud Build + Artifact Registry</t>
        </is>
      </c>
      <c r="G33" s="10" t="inlineStr">
        <is>
          <t>Azure DevOps + ACR</t>
        </is>
      </c>
      <c r="H33" s="10" t="inlineStr">
        <is>
          <t>Có thể "nằm trong" gói đang dùng</t>
        </is>
      </c>
    </row>
    <row r="34">
      <c r="A34" s="9" t="inlineStr">
        <is>
          <t>ops_labor ★</t>
        </is>
      </c>
      <c r="B34" s="9" t="inlineStr">
        <is>
          <t>A</t>
        </is>
      </c>
      <c r="C34" s="10" t="inlineStr">
        <is>
          <t>Số FTE, ca trực, phụ trách gì</t>
        </is>
      </c>
      <c r="D34" s="10" t="inlineStr">
        <is>
          <t>Bao nhiêu FTE cho 2.000 user, managed service giảm FTE</t>
        </is>
      </c>
      <c r="E34" s="10" t="inlineStr">
        <is>
          <t>—</t>
        </is>
      </c>
      <c r="F34" s="10" t="inlineStr">
        <is>
          <t>—</t>
        </is>
      </c>
      <c r="G34" s="10" t="inlineStr">
        <is>
          <t>—</t>
        </is>
      </c>
      <c r="H34" s="10" t="inlineStr">
        <is>
          <t>Dùng dịch vụ managed để giảm FTE; Bằng chứng ghi NA</t>
        </is>
      </c>
    </row>
    <row r="35">
      <c r="A35" s="9" t="inlineStr">
        <is>
          <t>licenses</t>
        </is>
      </c>
      <c r="B35" s="9" t="inlineStr">
        <is>
          <t>A</t>
        </is>
      </c>
      <c r="C35" s="10" t="inlineStr">
        <is>
          <t>Gói support của cloud, license phần mềm</t>
        </is>
      </c>
      <c r="D35" s="10" t="inlineStr">
        <is>
          <t>Gói support</t>
        </is>
      </c>
      <c r="E35" s="10" t="inlineStr">
        <is>
          <t>AWS Business Support</t>
        </is>
      </c>
      <c r="F35" s="10" t="inlineStr">
        <is>
          <t>Google Cloud Enhanced Support</t>
        </is>
      </c>
      <c r="G35" s="10" t="inlineStr">
        <is>
          <t>Azure Standard Support</t>
        </is>
      </c>
      <c r="H35" s="10" t="inlineStr">
        <is>
          <t>Chọn gói vừa đủ SLA</t>
        </is>
      </c>
    </row>
    <row r="36">
      <c r="A36" s="9" t="inlineStr">
        <is>
          <t>contingency</t>
        </is>
      </c>
      <c r="B36" s="9" t="inlineStr">
        <is>
          <t>A</t>
        </is>
      </c>
      <c r="C36" s="10" t="inlineStr">
        <is>
          <t>Vì sao cần, tính trên phần nào</t>
        </is>
      </c>
      <c r="D36" s="10" t="inlineStr">
        <is>
          <t>Có giữ không? (thêm tiền = giảm điểm)</t>
        </is>
      </c>
      <c r="E36" s="10" t="inlineStr">
        <is>
          <t>—</t>
        </is>
      </c>
      <c r="F36" s="10" t="inlineStr">
        <is>
          <t>—</t>
        </is>
      </c>
      <c r="G36" s="10" t="inlineStr">
        <is>
          <t>—</t>
        </is>
      </c>
      <c r="H36" s="10" t="inlineStr">
        <is>
          <t>Chỉ tính trên phần biến động (token)</t>
        </is>
      </c>
    </row>
    <row r="37">
      <c r="A37" s="11" t="inlineStr">
        <is>
          <t>llm ★</t>
        </is>
      </c>
      <c r="B37" s="11" t="inlineStr">
        <is>
          <t>B</t>
        </is>
      </c>
      <c r="C37" s="10" t="inlineStr">
        <is>
          <t>Model cho từng cấp tác vụ, API hay tự host, loại GPU, routing</t>
        </is>
      </c>
      <c r="D37" s="10" t="inlineStr">
        <is>
          <t>Model nhỏ/lớn, model tham chiếu H8, API vs tự host (hòa vốn)</t>
        </is>
      </c>
      <c r="E37" s="10" t="inlineStr">
        <is>
          <t>Bedrock</t>
        </is>
      </c>
      <c r="F37" s="10" t="inlineStr">
        <is>
          <t>Vertex AI</t>
        </is>
      </c>
      <c r="G37" s="10" t="inlineStr">
        <is>
          <t>Azure OpenAI / AI Foundry</t>
        </is>
      </c>
      <c r="H37" s="10" t="inlineStr">
        <is>
          <t>Route sang model nhỏ, prompt caching, batch cho agent nền</t>
        </is>
      </c>
    </row>
    <row r="38">
      <c r="A38" s="11" t="inlineStr">
        <is>
          <t>embedding</t>
        </is>
      </c>
      <c r="B38" s="11" t="inlineStr">
        <is>
          <t>B</t>
        </is>
      </c>
      <c r="C38" s="10" t="inlineStr">
        <is>
          <t>Model embedding, chi phí index lần đầu và hằng ngày</t>
        </is>
      </c>
      <c r="D38" s="10" t="inlineStr">
        <is>
          <t>Model, token index, tần suất cập nhật</t>
        </is>
      </c>
      <c r="E38" s="10" t="inlineStr">
        <is>
          <t>Bedrock (Titan/Cohere Embed)</t>
        </is>
      </c>
      <c r="F38" s="10" t="inlineStr">
        <is>
          <t>Vertex AI text-embedding</t>
        </is>
      </c>
      <c r="G38" s="10" t="inlineStr">
        <is>
          <t>Azure OpenAI text-embedding-3</t>
        </is>
      </c>
      <c r="H38" s="10" t="inlineStr">
        <is>
          <t>Chỉ embed lại phần thay đổi</t>
        </is>
      </c>
    </row>
    <row r="39">
      <c r="A39" s="11" t="inlineStr">
        <is>
          <t>gateway ★</t>
        </is>
      </c>
      <c r="B39" s="11" t="inlineStr">
        <is>
          <t>B</t>
        </is>
      </c>
      <c r="C39" s="10" t="inlineStr">
        <is>
          <t>Quota, rate limit, retry, fallback model, ghi log token</t>
        </is>
      </c>
      <c r="D39" s="10" t="inlineStr">
        <is>
          <t>Tự host LiteLLM hay managed</t>
        </is>
      </c>
      <c r="E39" s="10" t="inlineStr">
        <is>
          <t>API Gateway / LiteLLM trên EKS</t>
        </is>
      </c>
      <c r="F39" s="10" t="inlineStr">
        <is>
          <t>Apigee / LiteLLM trên GKE</t>
        </is>
      </c>
      <c r="G39" s="10" t="inlineStr">
        <is>
          <t>API Management / LiteLLM trên AKS</t>
        </is>
      </c>
      <c r="H39" s="10" t="inlineStr">
        <is>
          <t>Tự host → "nằm trong compute"</t>
        </is>
      </c>
    </row>
    <row r="40">
      <c r="A40" s="11" t="inlineStr">
        <is>
          <t>governance ★</t>
        </is>
      </c>
      <c r="B40" s="11" t="inlineStr">
        <is>
          <t>B</t>
        </is>
      </c>
      <c r="C40" s="10" t="inlineStr">
        <is>
          <t>Guardrail, chống prompt injection, DLP, audit, eval gate</t>
        </is>
      </c>
      <c r="D40" s="10" t="inlineStr">
        <is>
          <t>Guardrail, DLP, eval gate, xác nhận trước hành động ghi</t>
        </is>
      </c>
      <c r="E40" s="10" t="inlineStr">
        <is>
          <t>Bedrock Guardrails, Macie</t>
        </is>
      </c>
      <c r="F40" s="10" t="inlineStr">
        <is>
          <t>Model Armor, Sensitive Data Protection</t>
        </is>
      </c>
      <c r="G40" s="10" t="inlineStr">
        <is>
          <t>AI Content Safety, Purview</t>
        </is>
      </c>
      <c r="H40" s="10" t="inlineStr">
        <is>
          <t>Guardrail bằng model nhỏ; Presidio tự host</t>
        </is>
      </c>
    </row>
    <row r="41">
      <c r="A41" s="12" t="inlineStr">
        <is>
          <t>connectors ★</t>
        </is>
      </c>
      <c r="B41" s="12" t="inlineStr">
        <is>
          <t>C</t>
        </is>
      </c>
      <c r="C41" s="10" t="inlineStr">
        <is>
          <t>Cách gọi API từng SaaS, webhook, rate limit, lưu token</t>
        </is>
      </c>
      <c r="D41" s="10" t="inlineStr">
        <is>
          <t>Gọi trực tiếp hay sync trước vào index; rate limit</t>
        </is>
      </c>
      <c r="E41" s="10" t="inlineStr">
        <is>
          <t>Worker trên EKS</t>
        </is>
      </c>
      <c r="F41" s="10" t="inlineStr">
        <is>
          <t>Worker trên GKE</t>
        </is>
      </c>
      <c r="G41" s="10" t="inlineStr">
        <is>
          <t>Worker trên AKS</t>
        </is>
      </c>
      <c r="H41" s="10" t="inlineStr">
        <is>
          <t>API SaaS thường không tính phí theo lượt → ghi "nằm trong compute" (đừng viết chữ bị cấm)</t>
        </is>
      </c>
    </row>
    <row r="42">
      <c r="A42" s="12" t="inlineStr">
        <is>
          <t>database ★</t>
        </is>
      </c>
      <c r="B42" s="12" t="inlineStr">
        <is>
          <t>C</t>
        </is>
      </c>
      <c r="C42" s="10" t="inlineStr">
        <is>
          <t>Engine, cấu hình HA, kích thước, dữ liệu gì</t>
        </is>
      </c>
      <c r="D42" s="10" t="inlineStr">
        <is>
          <t>Instance size, Multi-AZ, GB</t>
        </is>
      </c>
      <c r="E42" s="10" t="inlineStr">
        <is>
          <t>RDS/Aurora PostgreSQL Multi-AZ</t>
        </is>
      </c>
      <c r="F42" s="10" t="inlineStr">
        <is>
          <t>Cloud SQL PostgreSQL HA</t>
        </is>
      </c>
      <c r="G42" s="10" t="inlineStr">
        <is>
          <t>Azure Database for PostgreSQL (zone-redundant HA)</t>
        </is>
      </c>
      <c r="H42" s="10" t="inlineStr">
        <is>
          <t>Reserved instance; staging nhỏ</t>
        </is>
      </c>
    </row>
    <row r="43">
      <c r="A43" s="12" t="inlineStr">
        <is>
          <t>vector_db ★</t>
        </is>
      </c>
      <c r="B43" s="12" t="inlineStr">
        <is>
          <t>C</t>
        </is>
      </c>
      <c r="C43" s="10" t="inlineStr">
        <is>
          <t>Engine, số vector, lọc kết quả theo quyền</t>
        </is>
      </c>
      <c r="D43" s="10" t="inlineStr">
        <is>
          <t>pgvector hay dịch vụ riêng; lọc ACL</t>
        </is>
      </c>
      <c r="E43" s="10" t="inlineStr">
        <is>
          <t>pgvector / OpenSearch</t>
        </is>
      </c>
      <c r="F43" s="10" t="inlineStr">
        <is>
          <t>pgvector / Vertex AI Vector Search</t>
        </is>
      </c>
      <c r="G43" s="10" t="inlineStr">
        <is>
          <t>pgvector / Azure AI Search</t>
        </is>
      </c>
      <c r="H43" s="10" t="inlineStr">
        <is>
          <t>pgvector trong DB chính → "nằm trong database"</t>
        </is>
      </c>
    </row>
    <row r="44">
      <c r="A44" s="12" t="inlineStr">
        <is>
          <t>object_storage ★</t>
        </is>
      </c>
      <c r="B44" s="12" t="inlineStr">
        <is>
          <t>C</t>
        </is>
      </c>
      <c r="C44" s="10" t="inlineStr">
        <is>
          <t>Tách workspace từng user, quota, lifecycle</t>
        </is>
      </c>
      <c r="D44" s="10" t="inlineStr">
        <is>
          <t>Prefix/khóa riêng mỗi user, GB thực dùng</t>
        </is>
      </c>
      <c r="E44" s="10" t="inlineStr">
        <is>
          <t>S3 + SSE-KMS</t>
        </is>
      </c>
      <c r="F44" s="10" t="inlineStr">
        <is>
          <t>Cloud Storage + CMEK</t>
        </is>
      </c>
      <c r="G44" s="10" t="inlineStr">
        <is>
          <t>Blob Storage + CMK</t>
        </is>
      </c>
      <c r="H44" s="10" t="inlineStr">
        <is>
          <t>Lifecycle sang lớp lạnh</t>
        </is>
      </c>
    </row>
    <row r="45">
      <c r="A45" s="12" t="inlineStr">
        <is>
          <t>cache_queue ★</t>
        </is>
      </c>
      <c r="B45" s="12" t="inlineStr">
        <is>
          <t>C</t>
        </is>
      </c>
      <c r="C45" s="10" t="inlineStr">
        <is>
          <t>Cache phiên và kết quả, hàng đợi cho agent chạy nền</t>
        </is>
      </c>
      <c r="D45" s="10" t="inlineStr">
        <is>
          <t>Redis HA + queue</t>
        </is>
      </c>
      <c r="E45" s="10" t="inlineStr">
        <is>
          <t>ElastiCache + SQS</t>
        </is>
      </c>
      <c r="F45" s="10" t="inlineStr">
        <is>
          <t>Memorystore + Pub/Sub / Cloud Tasks</t>
        </is>
      </c>
      <c r="G45" s="10" t="inlineStr">
        <is>
          <t>Azure Cache for Redis + Service Bus</t>
        </is>
      </c>
      <c r="H45" s="10" t="inlineStr">
        <is>
          <t>Node cache nhỏ; queue tính theo message</t>
        </is>
      </c>
    </row>
    <row r="46">
      <c r="A46" s="12" t="inlineStr">
        <is>
          <t>sandbox ★</t>
        </is>
      </c>
      <c r="B46" s="12" t="inlineStr">
        <is>
          <t>C</t>
        </is>
      </c>
      <c r="C46" s="10" t="inlineStr">
        <is>
          <t>Công nghệ cô lập, giới hạn tài nguyên, egress, vòng đời</t>
        </is>
      </c>
      <c r="D46" s="10" t="inlineStr">
        <is>
          <t>gVisor/Firecracker/Kata, không egress, chặn metadata, hủy sau chạy</t>
        </is>
      </c>
      <c r="E46" s="10" t="inlineStr">
        <is>
          <t>EKS + Firecracker / Fargate</t>
        </is>
      </c>
      <c r="F46" s="10" t="inlineStr">
        <is>
          <t>GKE Sandbox (gVisor)</t>
        </is>
      </c>
      <c r="G46" s="10" t="inlineStr">
        <is>
          <t>AKS Pod Sandboxing (Kata)</t>
        </is>
      </c>
      <c r="H46" s="10" t="inlineStr">
        <is>
          <t>Pool scale về 0 ngoài giờ; spot cho tác vụ nền</t>
        </is>
      </c>
    </row>
    <row r="47">
      <c r="A47" s="12" t="inlineStr">
        <is>
          <t>authn ★</t>
        </is>
      </c>
      <c r="B47" s="12" t="inlineStr">
        <is>
          <t>C</t>
        </is>
      </c>
      <c r="C47" s="10" t="inlineStr">
        <is>
          <t>IdP, giao thức SSO, MFA, phiên đăng nhập</t>
        </is>
      </c>
      <c r="D47" s="10" t="inlineStr">
        <is>
          <t>Dùng IdP tập đoàn sẵn có hay dịch vụ mới</t>
        </is>
      </c>
      <c r="E47" s="10" t="inlineStr">
        <is>
          <t>IAM Identity Center / Cognito</t>
        </is>
      </c>
      <c r="F47" s="10" t="inlineStr">
        <is>
          <t>Cloud Identity / Identity Platform</t>
        </is>
      </c>
      <c r="G47" s="10" t="inlineStr">
        <is>
          <t>Microsoft Entra ID</t>
        </is>
      </c>
      <c r="H47" s="10" t="inlineStr">
        <is>
          <t>IdP sẵn có → "nằm trong" license hiện có</t>
        </is>
      </c>
    </row>
    <row r="48">
      <c r="A48" s="12" t="inlineStr">
        <is>
          <t>authz ★</t>
        </is>
      </c>
      <c r="B48" s="12" t="inlineStr">
        <is>
          <t>C</t>
        </is>
      </c>
      <c r="C48" s="10" t="inlineStr">
        <is>
          <t>Mô hình quyền, ACL tài liệu theo quyền gốc, scope OAuth</t>
        </is>
      </c>
      <c r="D48" s="10" t="inlineStr">
        <is>
          <t>RBAC/ABAC, ACL, scope tối thiểu</t>
        </is>
      </c>
      <c r="E48" s="10" t="inlineStr">
        <is>
          <t>Verified Permissions (Cedar) / OPA</t>
        </is>
      </c>
      <c r="F48" s="10" t="inlineStr">
        <is>
          <t>OPA trên GKE</t>
        </is>
      </c>
      <c r="G48" s="10" t="inlineStr">
        <is>
          <t>OPA trên AKS</t>
        </is>
      </c>
      <c r="H48" s="10" t="inlineStr">
        <is>
          <t>OPA tự host → "nằm trong compute"</t>
        </is>
      </c>
    </row>
    <row r="49">
      <c r="A49" s="12" t="inlineStr">
        <is>
          <t>secrets_kms ★</t>
        </is>
      </c>
      <c r="B49" s="12" t="inlineStr">
        <is>
          <t>C</t>
        </is>
      </c>
      <c r="C49" s="10" t="inlineStr">
        <is>
          <t>Khóa mã hóa, nơi lưu secret và OAuth token, xoay khóa</t>
        </is>
      </c>
      <c r="D49" s="10" t="inlineStr">
        <is>
          <t>Số khóa, số secret, xoay khóa</t>
        </is>
      </c>
      <c r="E49" s="10" t="inlineStr">
        <is>
          <t>KMS + Secrets Manager</t>
        </is>
      </c>
      <c r="F49" s="10" t="inlineStr">
        <is>
          <t>Cloud KMS + Secret Manager</t>
        </is>
      </c>
      <c r="G49" s="10" t="inlineStr">
        <is>
          <t>Key Vault</t>
        </is>
      </c>
      <c r="H49" s="10" t="inlineStr">
        <is>
          <t>Gom token vào ít secret, mã hóa bằng 1 khóa/đơn vị</t>
        </is>
      </c>
    </row>
    <row r="51">
      <c r="A51" s="13" t="inlineStr">
        <is>
          <t>Gợi ý dịch vụ chỉ để tham khảo: nhóm chọn 1 cloud chính (H1) và kiểm lại tên SKU + giá trên trang chính thức.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70" customWidth="1" min="3" max="3"/>
    <col width="18" customWidth="1" min="4" max="4"/>
    <col width="30" customWidth="1" min="5" max="5"/>
  </cols>
  <sheetData>
    <row r="1">
      <c r="A1" s="8" t="inlineStr">
        <is>
          <t>Component</t>
        </is>
      </c>
      <c r="B1" s="8" t="inlineStr">
        <is>
          <t>Ý nghĩa</t>
        </is>
      </c>
      <c r="C1" s="8" t="inlineStr">
        <is>
          <t>Ghi chú</t>
        </is>
      </c>
      <c r="D1" s="8" t="inlineStr">
        <is>
          <t>Chi phí/tháng (USD)</t>
        </is>
      </c>
      <c r="E1" s="8" t="inlineStr">
        <is>
          <t>Bằng chứng</t>
        </is>
      </c>
    </row>
    <row r="2">
      <c r="A2" s="9" t="inlineStr">
        <is>
          <t>compute</t>
        </is>
      </c>
      <c r="B2" s="9" t="inlineStr">
        <is>
          <t>Phí control plane cụm Kubernetes (prod + staging)</t>
        </is>
      </c>
      <c r="C2" s="9" t="n"/>
      <c r="D2" s="14" t="n"/>
      <c r="E2" s="9" t="n"/>
    </row>
    <row r="3">
      <c r="A3" s="9" t="inlineStr">
        <is>
          <t>compute</t>
        </is>
      </c>
      <c r="B3" s="9" t="inlineStr">
        <is>
          <t>Node pool ứng dụng prod: web, API, worker connector, LLM gateway</t>
        </is>
      </c>
      <c r="C3" s="9" t="n"/>
      <c r="D3" s="14" t="n"/>
      <c r="E3" s="9" t="n"/>
    </row>
    <row r="4">
      <c r="A4" s="9" t="inlineStr">
        <is>
          <t>compute</t>
        </is>
      </c>
      <c r="B4" s="9" t="inlineStr">
        <is>
          <t>Node pool staging (nhỏ, tắt ngoài giờ)</t>
        </is>
      </c>
      <c r="C4" s="9" t="n"/>
      <c r="D4" s="14" t="n"/>
      <c r="E4" s="9" t="n"/>
    </row>
    <row r="5">
      <c r="A5" s="9" t="inlineStr">
        <is>
          <t>load_balancer</t>
        </is>
      </c>
      <c r="B5" s="9" t="inlineStr">
        <is>
          <t>Load balancer HTTPS + TLS trước gateway (multi-AZ)</t>
        </is>
      </c>
      <c r="C5" s="9" t="n"/>
      <c r="D5" s="14" t="n"/>
      <c r="E5" s="9" t="n"/>
    </row>
    <row r="6">
      <c r="A6" s="9" t="inlineStr">
        <is>
          <t>network</t>
        </is>
      </c>
      <c r="B6" s="9" t="inlineStr">
        <is>
          <t>NAT gateway cho egress có kiểm soát (gọi API SaaS connectors)</t>
        </is>
      </c>
      <c r="C6" s="9" t="n"/>
      <c r="D6" s="14" t="n"/>
      <c r="E6" s="9" t="n"/>
    </row>
    <row r="7">
      <c r="A7" s="9" t="inlineStr">
        <is>
          <t>network</t>
        </is>
      </c>
      <c r="B7" s="9" t="inlineStr">
        <is>
          <t>Private endpoint tới API model và dịch vụ managed</t>
        </is>
      </c>
      <c r="C7" s="9" t="n"/>
      <c r="D7" s="14" t="n"/>
      <c r="E7" s="9" t="n"/>
    </row>
    <row r="8">
      <c r="A8" s="9" t="inlineStr">
        <is>
          <t>network</t>
        </is>
      </c>
      <c r="B8" s="9" t="inlineStr">
        <is>
          <t>WAF trước load balancer + egress ra internet</t>
        </is>
      </c>
      <c r="C8" s="9" t="n"/>
      <c r="D8" s="14" t="n"/>
      <c r="E8" s="9" t="n"/>
    </row>
    <row r="9">
      <c r="A9" s="9" t="inlineStr">
        <is>
          <t>backup_dr</t>
        </is>
      </c>
      <c r="B9" s="9" t="inlineStr">
        <is>
          <t>Backup DB + object storage sang region khác (RPO 1h, RTO 4h)</t>
        </is>
      </c>
      <c r="C9" s="9" t="n"/>
      <c r="D9" s="14" t="n"/>
      <c r="E9" s="9" t="n"/>
    </row>
    <row r="10">
      <c r="A10" s="9" t="inlineStr">
        <is>
          <t>monitoring</t>
        </is>
      </c>
      <c r="B10" s="9" t="inlineStr">
        <is>
          <t>Log, metric, trace + LLM observability (token theo user, đơn vị)</t>
        </is>
      </c>
      <c r="C10" s="9" t="n"/>
      <c r="D10" s="14" t="n"/>
      <c r="E10" s="9" t="n"/>
    </row>
    <row r="11">
      <c r="A11" s="9" t="inlineStr">
        <is>
          <t>monitoring</t>
        </is>
      </c>
      <c r="B11" s="9" t="inlineStr">
        <is>
          <t>Lưu audit log 12 tháng (H5)</t>
        </is>
      </c>
      <c r="C11" s="9" t="n"/>
      <c r="D11" s="14" t="n"/>
      <c r="E11" s="9" t="n"/>
    </row>
    <row r="12">
      <c r="A12" s="9" t="inlineStr">
        <is>
          <t>cicd</t>
        </is>
      </c>
      <c r="B12" s="9" t="inlineStr">
        <is>
          <t>CI/CD pipeline, container registry, IaC cho prod và staging</t>
        </is>
      </c>
      <c r="C12" s="9" t="n"/>
      <c r="D12" s="14" t="n"/>
      <c r="E12" s="9" t="n"/>
    </row>
    <row r="13">
      <c r="A13" s="9" t="inlineStr">
        <is>
          <t>ops_labor</t>
        </is>
      </c>
      <c r="B13" s="9" t="inlineStr">
        <is>
          <t>Kỹ sư SRE/Platform vận hành nền tảng</t>
        </is>
      </c>
      <c r="C13" s="9" t="n"/>
      <c r="D13" s="14" t="n"/>
      <c r="E13" s="9" t="inlineStr">
        <is>
          <t>NA</t>
        </is>
      </c>
    </row>
    <row r="14">
      <c r="A14" s="9" t="inlineStr">
        <is>
          <t>licenses</t>
        </is>
      </c>
      <c r="B14" s="9" t="inlineStr">
        <is>
          <t>Gói support của cloud (bắt buộc với production)</t>
        </is>
      </c>
      <c r="C14" s="9" t="n"/>
      <c r="D14" s="14" t="n"/>
      <c r="E14" s="9" t="n"/>
    </row>
    <row r="15">
      <c r="A15" s="11" t="inlineStr">
        <is>
          <t>llm</t>
        </is>
      </c>
      <c r="B15" s="11" t="inlineStr">
        <is>
          <t>API model nhỏ cho cấp 1, 2, 5 (email, tài liệu, prompt thiết kế)</t>
        </is>
      </c>
      <c r="C15" s="11" t="n"/>
      <c r="D15" s="15">
        <f>ROUND(Sizing!$B$41,2)</f>
        <v/>
      </c>
      <c r="E15" s="11" t="n"/>
    </row>
    <row r="16">
      <c r="A16" s="11" t="inlineStr">
        <is>
          <t>llm</t>
        </is>
      </c>
      <c r="B16" s="11" t="inlineStr">
        <is>
          <t>API model lớn cho cấp 3, 4 (code, agent dự án)</t>
        </is>
      </c>
      <c r="C16" s="11" t="n"/>
      <c r="D16" s="15">
        <f>ROUND(Sizing!$B$42,2)</f>
        <v/>
      </c>
      <c r="E16" s="11" t="n"/>
    </row>
    <row r="17">
      <c r="A17" s="11" t="inlineStr">
        <is>
          <t>llm</t>
        </is>
      </c>
      <c r="B17" s="11" t="inlineStr">
        <is>
          <t>Sinh ảnh minh họa cho cấp 5</t>
        </is>
      </c>
      <c r="C17" s="11" t="n"/>
      <c r="D17" s="15">
        <f>ROUND(Sizing!$B$44,2)</f>
        <v/>
      </c>
      <c r="E17" s="11" t="n"/>
    </row>
    <row r="18">
      <c r="A18" s="11" t="inlineStr">
        <is>
          <t>embedding</t>
        </is>
      </c>
      <c r="B18" s="11" t="inlineStr">
        <is>
          <t>Embedding tài liệu nội bộ và câu hỏi (index + cập nhật)</t>
        </is>
      </c>
      <c r="C18" s="11" t="n"/>
      <c r="D18" s="15">
        <f>ROUND(Sizing!$B$66,2)</f>
        <v/>
      </c>
      <c r="E18" s="11" t="n"/>
    </row>
    <row r="19">
      <c r="A19" s="11" t="inlineStr">
        <is>
          <t>gateway</t>
        </is>
      </c>
      <c r="B19" s="11" t="inlineStr">
        <is>
          <t>LLM gateway: routing model, quota theo người, rate limit, fallback, log token</t>
        </is>
      </c>
      <c r="C19" s="11" t="n"/>
      <c r="D19" s="15" t="n"/>
      <c r="E19" s="11" t="n"/>
    </row>
    <row r="20">
      <c r="A20" s="11" t="inlineStr">
        <is>
          <t>gateway</t>
        </is>
      </c>
      <c r="B20" s="11" t="inlineStr">
        <is>
          <t>API gateway cho backend (xác thực token, rate limit)</t>
        </is>
      </c>
      <c r="C20" s="11" t="n"/>
      <c r="D20" s="15" t="n"/>
      <c r="E20" s="11" t="n"/>
    </row>
    <row r="21">
      <c r="A21" s="11" t="inlineStr">
        <is>
          <t>governance</t>
        </is>
      </c>
      <c r="B21" s="11" t="inlineStr">
        <is>
          <t>Guardrail đầu vào/ra, chống prompt injection từ email và tài liệu</t>
        </is>
      </c>
      <c r="C21" s="11" t="n"/>
      <c r="D21" s="15">
        <f>ROUND(Sizing!$B$51,2)</f>
        <v/>
      </c>
      <c r="E21" s="11" t="n"/>
    </row>
    <row r="22">
      <c r="A22" s="11" t="inlineStr">
        <is>
          <t>governance</t>
        </is>
      </c>
      <c r="B22" s="11" t="inlineStr">
        <is>
          <t>DLP che PII + phân loại dữ liệu</t>
        </is>
      </c>
      <c r="C22" s="11" t="n"/>
      <c r="D22" s="15" t="n"/>
      <c r="E22" s="11" t="n"/>
    </row>
    <row r="23">
      <c r="A23" s="11" t="inlineStr">
        <is>
          <t>governance</t>
        </is>
      </c>
      <c r="B23" s="11" t="inlineStr">
        <is>
          <t>Eval gate trước khi đổi model hoặc prompt</t>
        </is>
      </c>
      <c r="C23" s="11" t="n"/>
      <c r="D23" s="15">
        <f>ROUND(Sizing!$B$56,2)</f>
        <v/>
      </c>
      <c r="E23" s="11" t="n"/>
    </row>
    <row r="24">
      <c r="A24" s="12" t="inlineStr">
        <is>
          <t>connectors</t>
        </is>
      </c>
      <c r="B24" s="12" t="inlineStr">
        <is>
          <t>Dịch vụ connector: Google Workspace, Microsoft Graph, Notion, Jira, Confluence (OAuth ủy nhiệm, webhook)</t>
        </is>
      </c>
      <c r="C24" s="12" t="n"/>
      <c r="D24" s="16" t="n"/>
      <c r="E24" s="12" t="n"/>
    </row>
    <row r="25">
      <c r="A25" s="12" t="inlineStr">
        <is>
          <t>database</t>
        </is>
      </c>
      <c r="B25" s="12" t="inlineStr">
        <is>
          <t>PostgreSQL HA multi-AZ: user, quyền, lịch sử chat, bộ nhớ dài hạn, metadata</t>
        </is>
      </c>
      <c r="C25" s="12" t="n"/>
      <c r="D25" s="16" t="n"/>
      <c r="E25" s="12" t="n"/>
    </row>
    <row r="26">
      <c r="A26" s="12" t="inlineStr">
        <is>
          <t>database</t>
        </is>
      </c>
      <c r="B26" s="12" t="inlineStr">
        <is>
          <t>Database staging (1 instance nhỏ)</t>
        </is>
      </c>
      <c r="C26" s="12" t="n"/>
      <c r="D26" s="16" t="n"/>
      <c r="E26" s="12" t="n"/>
    </row>
    <row r="27">
      <c r="A27" s="12" t="inlineStr">
        <is>
          <t>vector_db</t>
        </is>
      </c>
      <c r="B27" s="12" t="inlineStr">
        <is>
          <t>Vector index tài liệu, lọc kết quả theo ACL gốc và theo user</t>
        </is>
      </c>
      <c r="C27" s="12" t="n"/>
      <c r="D27" s="16" t="n"/>
      <c r="E27" s="12" t="n"/>
    </row>
    <row r="28">
      <c r="A28" s="12" t="inlineStr">
        <is>
          <t>object_storage</t>
        </is>
      </c>
      <c r="B28" s="12" t="inlineStr">
        <is>
          <t>Workspace riêng mỗi người (prefix + khóa riêng), file agent tạo ra, quota 10 GB</t>
        </is>
      </c>
      <c r="C28" s="12" t="n"/>
      <c r="D28" s="16" t="n"/>
      <c r="E28" s="12" t="n"/>
    </row>
    <row r="29">
      <c r="A29" s="12" t="inlineStr">
        <is>
          <t>cache_queue</t>
        </is>
      </c>
      <c r="B29" s="12" t="inlineStr">
        <is>
          <t>Redis managed HA: cache phiên, kết quả, rate limit</t>
        </is>
      </c>
      <c r="C29" s="12" t="n"/>
      <c r="D29" s="16" t="n"/>
      <c r="E29" s="12" t="n"/>
    </row>
    <row r="30">
      <c r="A30" s="12" t="inlineStr">
        <is>
          <t>cache_queue</t>
        </is>
      </c>
      <c r="B30" s="12" t="inlineStr">
        <is>
          <t>Hàng đợi tác vụ agent chạy nền (retry, hủy, thông báo)</t>
        </is>
      </c>
      <c r="C30" s="12" t="n"/>
      <c r="D30" s="16" t="n"/>
      <c r="E30" s="12" t="n"/>
    </row>
    <row r="31">
      <c r="A31" s="12" t="inlineStr">
        <is>
          <t>sandbox</t>
        </is>
      </c>
      <c r="B31" s="12" t="inlineStr">
        <is>
          <t>Node pool sandbox gVisor/microVM cho code của agent, không egress</t>
        </is>
      </c>
      <c r="C31" s="12" t="n"/>
      <c r="D31" s="16" t="n"/>
      <c r="E31" s="12" t="n"/>
    </row>
    <row r="32">
      <c r="A32" s="12" t="inlineStr">
        <is>
          <t>authn</t>
        </is>
      </c>
      <c r="B32" s="12" t="inlineStr">
        <is>
          <t>SSO tập đoàn (OIDC/SAML) + MFA</t>
        </is>
      </c>
      <c r="C32" s="12" t="n"/>
      <c r="D32" s="16" t="n"/>
      <c r="E32" s="12" t="n"/>
    </row>
    <row r="33">
      <c r="A33" s="12" t="inlineStr">
        <is>
          <t>authz</t>
        </is>
      </c>
      <c r="B33" s="12" t="inlineStr">
        <is>
          <t>Policy engine RBAC/ABAC + ACL tài liệu theo quyền gốc + scope OAuth</t>
        </is>
      </c>
      <c r="C33" s="12" t="n"/>
      <c r="D33" s="16" t="n"/>
      <c r="E33" s="12" t="n"/>
    </row>
    <row r="34">
      <c r="A34" s="12" t="inlineStr">
        <is>
          <t>secrets_kms</t>
        </is>
      </c>
      <c r="B34" s="12" t="inlineStr">
        <is>
          <t>KMS + token vault lưu OAuth token mã hóa, xoay khóa</t>
        </is>
      </c>
      <c r="C34" s="12" t="n"/>
      <c r="D34" s="16" t="n"/>
      <c r="E34" s="12" t="n"/>
    </row>
    <row r="35">
      <c r="A35" s="9" t="inlineStr">
        <is>
          <t>contingency</t>
        </is>
      </c>
      <c r="B35" s="9" t="inlineStr">
        <is>
          <t>Dự phòng biến động lượng token (10% chi phí LLM)</t>
        </is>
      </c>
      <c r="C35" s="9" t="n"/>
      <c r="D35" s="14">
        <f>ROUND(0.1*(D15+D16+D17),2)</f>
        <v/>
      </c>
      <c r="E35" s="9" t="inlineStr">
        <is>
          <t>NA</t>
        </is>
      </c>
    </row>
    <row r="36">
      <c r="A36" s="17" t="inlineStr">
        <is>
          <t>TOTAL</t>
        </is>
      </c>
      <c r="B36" s="18" t="n"/>
      <c r="C36" s="18" t="n"/>
      <c r="D36" s="19">
        <f>SUM(D2:D35)</f>
        <v/>
      </c>
      <c r="E36" s="18" t="n"/>
    </row>
  </sheetData>
  <dataValidations count="1">
    <dataValidation sqref="A2:A150" showDropDown="0" showInputMessage="0" showErrorMessage="0" allowBlank="1" type="list">
      <formula1>"compute,llm,embedding,gateway,load_balancer,authn,authz,database,vector_db,object_storage,cache_queue,sandbox,connectors,secrets_kms,backup_dr,monitoring,governance,network,cicd,ops_labor,licenses,contingency,other,TOTAL"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4" customWidth="1" min="4" max="4"/>
    <col width="60" customWidth="1" min="5" max="5"/>
  </cols>
  <sheetData>
    <row r="1">
      <c r="A1" s="8" t="inlineStr">
        <is>
          <t>evidence_id</t>
        </is>
      </c>
      <c r="B1" s="8" t="inlineStr">
        <is>
          <t>Mô tả (dịch vụ, SKU, region, đơn giá)</t>
        </is>
      </c>
      <c r="C1" s="8" t="inlineStr">
        <is>
          <t>Link (trang giá / calculator đã lưu)</t>
        </is>
      </c>
      <c r="D1" s="8" t="inlineStr">
        <is>
          <t>Ngày chụp</t>
        </is>
      </c>
      <c r="E1" s="8" t="inlineStr">
        <is>
          <t>Ảnh chụp màn hình</t>
        </is>
      </c>
    </row>
    <row r="2" ht="90" customHeight="1">
      <c r="A2" s="20" t="inlineStr">
        <is>
          <t>E01</t>
        </is>
      </c>
      <c r="B2" s="20" t="n"/>
      <c r="C2" s="20" t="n"/>
      <c r="D2" s="20" t="n"/>
      <c r="E2" s="20" t="n"/>
    </row>
    <row r="3" ht="90" customHeight="1">
      <c r="A3" s="20" t="inlineStr">
        <is>
          <t>E02</t>
        </is>
      </c>
      <c r="B3" s="20" t="n"/>
      <c r="C3" s="20" t="n"/>
      <c r="D3" s="20" t="n"/>
      <c r="E3" s="20" t="n"/>
    </row>
    <row r="4" ht="90" customHeight="1">
      <c r="A4" s="20" t="inlineStr">
        <is>
          <t>E03</t>
        </is>
      </c>
      <c r="B4" s="20" t="n"/>
      <c r="C4" s="20" t="n"/>
      <c r="D4" s="20" t="n"/>
      <c r="E4" s="20" t="n"/>
    </row>
    <row r="5" ht="90" customHeight="1">
      <c r="A5" s="20" t="inlineStr">
        <is>
          <t>E04</t>
        </is>
      </c>
      <c r="B5" s="20" t="n"/>
      <c r="C5" s="20" t="n"/>
      <c r="D5" s="20" t="n"/>
      <c r="E5" s="20" t="n"/>
    </row>
    <row r="6" ht="90" customHeight="1">
      <c r="A6" s="20" t="inlineStr">
        <is>
          <t>E05</t>
        </is>
      </c>
      <c r="B6" s="20" t="n"/>
      <c r="C6" s="20" t="n"/>
      <c r="D6" s="20" t="n"/>
      <c r="E6" s="20" t="n"/>
    </row>
    <row r="7" ht="90" customHeight="1">
      <c r="A7" s="20" t="inlineStr">
        <is>
          <t>E06</t>
        </is>
      </c>
      <c r="B7" s="20" t="n"/>
      <c r="C7" s="20" t="n"/>
      <c r="D7" s="20" t="n"/>
      <c r="E7" s="20" t="n"/>
    </row>
    <row r="8" ht="90" customHeight="1">
      <c r="A8" s="20" t="inlineStr">
        <is>
          <t>E07</t>
        </is>
      </c>
      <c r="B8" s="20" t="n"/>
      <c r="C8" s="20" t="n"/>
      <c r="D8" s="20" t="n"/>
      <c r="E8" s="20" t="n"/>
    </row>
    <row r="9" ht="90" customHeight="1">
      <c r="A9" s="20" t="inlineStr">
        <is>
          <t>E08</t>
        </is>
      </c>
      <c r="B9" s="20" t="n"/>
      <c r="C9" s="20" t="n"/>
      <c r="D9" s="20" t="n"/>
      <c r="E9" s="20" t="n"/>
    </row>
    <row r="10" ht="90" customHeight="1">
      <c r="A10" s="20" t="inlineStr">
        <is>
          <t>E09</t>
        </is>
      </c>
      <c r="B10" s="20" t="n"/>
      <c r="C10" s="20" t="n"/>
      <c r="D10" s="20" t="n"/>
      <c r="E10" s="20" t="n"/>
    </row>
    <row r="11" ht="90" customHeight="1">
      <c r="A11" s="20" t="inlineStr">
        <is>
          <t>E10</t>
        </is>
      </c>
      <c r="B11" s="20" t="n"/>
      <c r="C11" s="20" t="n"/>
      <c r="D11" s="20" t="n"/>
      <c r="E11" s="20" t="n"/>
    </row>
    <row r="12" ht="90" customHeight="1">
      <c r="A12" s="21" t="inlineStr">
        <is>
          <t>E30</t>
        </is>
      </c>
      <c r="B12" s="21" t="n"/>
      <c r="C12" s="21" t="n"/>
      <c r="D12" s="21" t="n"/>
      <c r="E12" s="21" t="n"/>
    </row>
    <row r="13" ht="90" customHeight="1">
      <c r="A13" s="21" t="inlineStr">
        <is>
          <t>E31</t>
        </is>
      </c>
      <c r="B13" s="21" t="n"/>
      <c r="C13" s="21" t="n"/>
      <c r="D13" s="21" t="n"/>
      <c r="E13" s="21" t="n"/>
    </row>
    <row r="14" ht="90" customHeight="1">
      <c r="A14" s="21" t="inlineStr">
        <is>
          <t>E32</t>
        </is>
      </c>
      <c r="B14" s="21" t="n"/>
      <c r="C14" s="21" t="n"/>
      <c r="D14" s="21" t="n"/>
      <c r="E14" s="21" t="n"/>
    </row>
    <row r="15" ht="90" customHeight="1">
      <c r="A15" s="21" t="inlineStr">
        <is>
          <t>E33</t>
        </is>
      </c>
      <c r="B15" s="21" t="n"/>
      <c r="C15" s="21" t="n"/>
      <c r="D15" s="21" t="n"/>
      <c r="E15" s="21" t="n"/>
    </row>
    <row r="16" ht="90" customHeight="1">
      <c r="A16" s="21" t="inlineStr">
        <is>
          <t>E34</t>
        </is>
      </c>
      <c r="B16" s="21" t="n"/>
      <c r="C16" s="21" t="n"/>
      <c r="D16" s="21" t="n"/>
      <c r="E16" s="21" t="n"/>
    </row>
    <row r="17" ht="90" customHeight="1">
      <c r="A17" s="21" t="inlineStr">
        <is>
          <t>E35</t>
        </is>
      </c>
      <c r="B17" s="21" t="n"/>
      <c r="C17" s="21" t="n"/>
      <c r="D17" s="21" t="n"/>
      <c r="E17" s="21" t="n"/>
    </row>
    <row r="18" ht="90" customHeight="1">
      <c r="A18" s="21" t="inlineStr">
        <is>
          <t>E36</t>
        </is>
      </c>
      <c r="B18" s="21" t="n"/>
      <c r="C18" s="21" t="n"/>
      <c r="D18" s="21" t="n"/>
      <c r="E18" s="21" t="n"/>
    </row>
    <row r="19" ht="90" customHeight="1">
      <c r="A19" s="21" t="inlineStr">
        <is>
          <t>E37</t>
        </is>
      </c>
      <c r="B19" s="21" t="n"/>
      <c r="C19" s="21" t="n"/>
      <c r="D19" s="21" t="n"/>
      <c r="E19" s="21" t="n"/>
    </row>
    <row r="20" ht="90" customHeight="1">
      <c r="A20" s="21" t="inlineStr">
        <is>
          <t>E38</t>
        </is>
      </c>
      <c r="B20" s="21" t="n"/>
      <c r="C20" s="21" t="n"/>
      <c r="D20" s="21" t="n"/>
      <c r="E20" s="21" t="n"/>
    </row>
    <row r="21" ht="90" customHeight="1">
      <c r="A21" s="21" t="inlineStr">
        <is>
          <t>E39</t>
        </is>
      </c>
      <c r="B21" s="21" t="n"/>
      <c r="C21" s="21" t="n"/>
      <c r="D21" s="21" t="n"/>
      <c r="E21" s="21" t="n"/>
    </row>
    <row r="22" ht="90" customHeight="1">
      <c r="A22" s="22" t="inlineStr">
        <is>
          <t>E60</t>
        </is>
      </c>
      <c r="B22" s="22" t="n"/>
      <c r="C22" s="22" t="n"/>
      <c r="D22" s="22" t="n"/>
      <c r="E22" s="22" t="n"/>
    </row>
    <row r="23" ht="90" customHeight="1">
      <c r="A23" s="22" t="inlineStr">
        <is>
          <t>E61</t>
        </is>
      </c>
      <c r="B23" s="22" t="n"/>
      <c r="C23" s="22" t="n"/>
      <c r="D23" s="22" t="n"/>
      <c r="E23" s="22" t="n"/>
    </row>
    <row r="24" ht="90" customHeight="1">
      <c r="A24" s="22" t="inlineStr">
        <is>
          <t>E62</t>
        </is>
      </c>
      <c r="B24" s="22" t="n"/>
      <c r="C24" s="22" t="n"/>
      <c r="D24" s="22" t="n"/>
      <c r="E24" s="22" t="n"/>
    </row>
    <row r="25" ht="90" customHeight="1">
      <c r="A25" s="22" t="inlineStr">
        <is>
          <t>E63</t>
        </is>
      </c>
      <c r="B25" s="22" t="n"/>
      <c r="C25" s="22" t="n"/>
      <c r="D25" s="22" t="n"/>
      <c r="E25" s="22" t="n"/>
    </row>
    <row r="26" ht="90" customHeight="1">
      <c r="A26" s="22" t="inlineStr">
        <is>
          <t>E64</t>
        </is>
      </c>
      <c r="B26" s="22" t="n"/>
      <c r="C26" s="22" t="n"/>
      <c r="D26" s="22" t="n"/>
      <c r="E26" s="22" t="n"/>
    </row>
    <row r="27" ht="90" customHeight="1">
      <c r="A27" s="22" t="inlineStr">
        <is>
          <t>E65</t>
        </is>
      </c>
      <c r="B27" s="22" t="n"/>
      <c r="C27" s="22" t="n"/>
      <c r="D27" s="22" t="n"/>
      <c r="E27" s="22" t="n"/>
    </row>
    <row r="28" ht="90" customHeight="1">
      <c r="A28" s="22" t="inlineStr">
        <is>
          <t>E66</t>
        </is>
      </c>
      <c r="B28" s="22" t="n"/>
      <c r="C28" s="22" t="n"/>
      <c r="D28" s="22" t="n"/>
      <c r="E28" s="22" t="n"/>
    </row>
    <row r="29" ht="90" customHeight="1">
      <c r="A29" s="22" t="inlineStr">
        <is>
          <t>E67</t>
        </is>
      </c>
      <c r="B29" s="22" t="n"/>
      <c r="C29" s="22" t="n"/>
      <c r="D29" s="22" t="n"/>
      <c r="E29" s="22" t="n"/>
    </row>
    <row r="30" ht="90" customHeight="1">
      <c r="A30" s="22" t="inlineStr">
        <is>
          <t>E68</t>
        </is>
      </c>
      <c r="B30" s="22" t="n"/>
      <c r="C30" s="22" t="n"/>
      <c r="D30" s="22" t="n"/>
      <c r="E30" s="22" t="n"/>
    </row>
    <row r="31" ht="90" customHeight="1">
      <c r="A31" s="22" t="inlineStr">
        <is>
          <t>E69</t>
        </is>
      </c>
      <c r="B31" s="22" t="n"/>
      <c r="C31" s="22" t="n"/>
      <c r="D31" s="22" t="n"/>
      <c r="E31" s="2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s="23" t="inlineStr">
        <is>
          <t>SIZING – từ 2.000 DAU ra token, lượt sandbox, dung lượng (ô vàng = nhóm sửa, ô xám = công thức)</t>
        </is>
      </c>
    </row>
    <row r="2">
      <c r="A2" s="24" t="inlineStr">
        <is>
          <t>Mọi con số ở đây phải xuất hiện trên slide "Giả định và ước lượng tải". Ô vàng là giả định ban đầu để nhóm tranh luận, KHÔNG phải đáp án.</t>
        </is>
      </c>
    </row>
    <row r="4">
      <c r="A4" s="23" t="inlineStr">
        <is>
          <t>1. Đề cho</t>
        </is>
      </c>
    </row>
    <row r="5">
      <c r="A5" s="25" t="inlineStr">
        <is>
          <t>Người dùng hoạt động mỗi ngày (DAU)</t>
        </is>
      </c>
      <c r="B5" s="26" t="n">
        <v>2000</v>
      </c>
      <c r="C5" t="inlineStr">
        <is>
          <t>người</t>
        </is>
      </c>
      <c r="D5" s="27" t="inlineStr">
        <is>
          <t>Đề cho</t>
        </is>
      </c>
    </row>
    <row r="6">
      <c r="A6" s="25" t="inlineStr">
        <is>
          <t>Ngày làm việc mỗi tháng</t>
        </is>
      </c>
      <c r="B6" s="20" t="n">
        <v>22</v>
      </c>
      <c r="C6" t="inlineStr">
        <is>
          <t>ngày</t>
        </is>
      </c>
      <c r="D6" s="27" t="inlineStr">
        <is>
          <t>Đề cho</t>
        </is>
      </c>
    </row>
    <row r="7">
      <c r="A7" s="25" t="inlineStr">
        <is>
          <t>Giờ hành chính mỗi ngày (8:00–18:00)</t>
        </is>
      </c>
      <c r="B7" s="20" t="n">
        <v>10</v>
      </c>
      <c r="C7" t="inlineStr">
        <is>
          <t>giờ</t>
        </is>
      </c>
      <c r="D7" s="27" t="inlineStr">
        <is>
          <t>Đề cho</t>
        </is>
      </c>
    </row>
    <row r="8">
      <c r="A8" s="25" t="inlineStr">
        <is>
          <t>Giờ chạy 24/7 mỗi tháng</t>
        </is>
      </c>
      <c r="B8" s="20" t="n">
        <v>730</v>
      </c>
      <c r="C8" t="inlineStr">
        <is>
          <t>giờ</t>
        </is>
      </c>
      <c r="D8" s="27" t="inlineStr">
        <is>
          <t>Đề cho: dùng cho thành phần chạy liên tục (DB, LB…)</t>
        </is>
      </c>
    </row>
    <row r="9">
      <c r="A9" s="25" t="inlineStr">
        <is>
          <t>Giờ hành chính mỗi tháng</t>
        </is>
      </c>
      <c r="B9" s="28">
        <f>$B$6*$B$7</f>
        <v/>
      </c>
      <c r="C9" t="inlineStr">
        <is>
          <t>giờ</t>
        </is>
      </c>
      <c r="D9" s="27" t="inlineStr">
        <is>
          <t>22 × 10 = 220, dùng cho thành phần scale về 0 ngoài giờ</t>
        </is>
      </c>
    </row>
    <row r="11">
      <c r="A11" s="23" t="inlineStr">
        <is>
          <t>2. Tải tổng</t>
        </is>
      </c>
    </row>
    <row r="12">
      <c r="A12" s="25" t="inlineStr">
        <is>
          <t>Request mỗi người mỗi ngày</t>
        </is>
      </c>
      <c r="B12" s="29" t="n">
        <v>25</v>
      </c>
      <c r="C12" t="inlineStr">
        <is>
          <t>request</t>
        </is>
      </c>
      <c r="D12" s="27" t="inlineStr">
        <is>
          <t>Gợi ý: file đề có hằng REQ_PER_USER = 25. Nhóm phải nêu căn cứ.</t>
        </is>
      </c>
    </row>
    <row r="13">
      <c r="A13" s="25" t="inlineStr">
        <is>
          <t>Hệ số giờ cao điểm so với trung bình</t>
        </is>
      </c>
      <c r="B13" s="29" t="n">
        <v>3</v>
      </c>
      <c r="C13" t="inlineStr">
        <is>
          <t>lần</t>
        </is>
      </c>
      <c r="D13" s="27" t="inlineStr">
        <is>
          <t>Ví dụ 9–11h sáng gấp 3 lần trung bình</t>
        </is>
      </c>
    </row>
    <row r="14">
      <c r="A14" s="25" t="inlineStr">
        <is>
          <t>Request mỗi tháng</t>
        </is>
      </c>
      <c r="B14" s="30">
        <f>$B$5*$B$12*$B$6</f>
        <v/>
      </c>
      <c r="C14" t="inlineStr">
        <is>
          <t>request</t>
        </is>
      </c>
      <c r="D14" s="27" t="inlineStr">
        <is>
          <t>DAU × request/ngày × 22</t>
        </is>
      </c>
    </row>
    <row r="15">
      <c r="A15" s="25" t="inlineStr">
        <is>
          <t>Request/giây trung bình giờ hành chính</t>
        </is>
      </c>
      <c r="B15" s="31">
        <f>$B$5*$B$12/($B$7*3600)</f>
        <v/>
      </c>
      <c r="C15" t="inlineStr">
        <is>
          <t>req/s</t>
        </is>
      </c>
      <c r="D15" s="27" t="inlineStr"/>
    </row>
    <row r="16">
      <c r="A16" s="25" t="inlineStr">
        <is>
          <t>Request/giây giờ cao điểm</t>
        </is>
      </c>
      <c r="B16" s="31">
        <f>$B$15*$B$13</f>
        <v/>
      </c>
      <c r="C16" t="inlineStr">
        <is>
          <t>req/s</t>
        </is>
      </c>
      <c r="D16" s="27" t="inlineStr">
        <is>
          <t>Dùng để sizing gateway, app node</t>
        </is>
      </c>
    </row>
    <row r="17">
      <c r="A17" s="25" t="inlineStr">
        <is>
          <t>Tỉ lệ DAU online cùng lúc giờ cao điểm</t>
        </is>
      </c>
      <c r="B17" s="32" t="n">
        <v>0.3</v>
      </c>
      <c r="C17" t="inlineStr">
        <is>
          <t>% DAU</t>
        </is>
      </c>
      <c r="D17" s="27" t="inlineStr"/>
    </row>
    <row r="18">
      <c r="A18" s="25" t="inlineStr">
        <is>
          <t>Phiên đồng thời giờ cao điểm</t>
        </is>
      </c>
      <c r="B18" s="30">
        <f>$B$5*$B$17</f>
        <v/>
      </c>
      <c r="C18" t="inlineStr">
        <is>
          <t>phiên</t>
        </is>
      </c>
      <c r="D18" s="27" t="inlineStr"/>
    </row>
    <row r="20">
      <c r="A20" s="23" t="inlineStr">
        <is>
          <t>3. Giá model (điền từ trang giá chính thức, ghi mã ảnh bằng chứng)</t>
        </is>
      </c>
    </row>
    <row r="21">
      <c r="A21" s="25" t="inlineStr">
        <is>
          <t>Tỉ lệ token input trúng prompt cache</t>
        </is>
      </c>
      <c r="B21" s="32" t="n">
        <v>0.3</v>
      </c>
      <c r="C21" t="inlineStr">
        <is>
          <t>%</t>
        </is>
      </c>
      <c r="D21" s="27" t="inlineStr">
        <is>
          <t>Giả định tiết kiệm – hội đồng sẽ hỏi căn cứ</t>
        </is>
      </c>
    </row>
    <row r="22">
      <c r="A22" s="8" t="inlineStr">
        <is>
          <t>Loại model</t>
        </is>
      </c>
      <c r="B22" s="8" t="inlineStr">
        <is>
          <t>Tên model / SKU</t>
        </is>
      </c>
      <c r="C22" s="8" t="inlineStr">
        <is>
          <t>Input USD/1M</t>
        </is>
      </c>
      <c r="D22" s="8" t="inlineStr">
        <is>
          <t>Input cached USD/1M</t>
        </is>
      </c>
      <c r="E22" s="8" t="inlineStr">
        <is>
          <t>Output USD/1M</t>
        </is>
      </c>
      <c r="F22" s="8" t="inlineStr">
        <is>
          <t>Mã bằng chứng</t>
        </is>
      </c>
      <c r="G22" s="8" t="inlineStr">
        <is>
          <t>Input hiệu dụng USD/1M</t>
        </is>
      </c>
    </row>
    <row r="23">
      <c r="A23" s="2" t="inlineStr">
        <is>
          <t>Nhỏ</t>
        </is>
      </c>
      <c r="B23" s="29" t="n"/>
      <c r="C23" s="29" t="n"/>
      <c r="D23" s="29" t="n"/>
      <c r="E23" s="29" t="n"/>
      <c r="F23" s="29" t="n"/>
      <c r="G23" s="33">
        <f>$B$21*D23+(1-$B$21)*C23</f>
        <v/>
      </c>
    </row>
    <row r="24">
      <c r="A24" s="2" t="inlineStr">
        <is>
          <t>Lớn</t>
        </is>
      </c>
      <c r="B24" s="29" t="n"/>
      <c r="C24" s="29" t="n"/>
      <c r="D24" s="29" t="n"/>
      <c r="E24" s="29" t="n"/>
      <c r="F24" s="29" t="n"/>
      <c r="G24" s="33">
        <f>$B$21*D24+(1-$B$21)*C24</f>
        <v/>
      </c>
    </row>
    <row r="25">
      <c r="A25" s="13" t="inlineStr">
        <is>
          <t>Nhỏ = model rẻ cho cấp 1, 2, 5; Lớn = model mạnh cho cấp 3, 4. Đổi cột "Model" ở bảng 4 để thử routing.</t>
        </is>
      </c>
    </row>
    <row r="26">
      <c r="A26" s="25" t="inlineStr">
        <is>
          <t>Giá sinh 1 ảnh</t>
        </is>
      </c>
      <c r="B26" s="34" t="n"/>
      <c r="C26" t="inlineStr">
        <is>
          <t>USD/ảnh</t>
        </is>
      </c>
      <c r="D26" s="27" t="inlineStr">
        <is>
          <t>Cấp 5: dịch vụ sinh ảnh, ghi SKU + độ phân giải</t>
        </is>
      </c>
    </row>
    <row r="27">
      <c r="A27" s="25" t="inlineStr">
        <is>
          <t>Số ảnh trung bình mỗi request cấp 5</t>
        </is>
      </c>
      <c r="B27" s="35" t="n">
        <v>0.3</v>
      </c>
      <c r="C27" t="inlineStr">
        <is>
          <t>ảnh</t>
        </is>
      </c>
      <c r="D27" s="27" t="inlineStr">
        <is>
          <t>Không phải request thiết kế nào cũng sinh ảnh (sơ đồ, mockup có thể vẽ bằng code)</t>
        </is>
      </c>
    </row>
    <row r="28">
      <c r="A28" s="25" t="inlineStr">
        <is>
          <t>Giá embedding</t>
        </is>
      </c>
      <c r="B28" s="34" t="n"/>
      <c r="C28" t="inlineStr">
        <is>
          <t>USD/1M token</t>
        </is>
      </c>
      <c r="D28" s="27" t="inlineStr"/>
    </row>
    <row r="30">
      <c r="A30" s="23" t="inlineStr">
        <is>
          <t>4. Năm cấp tác vụ</t>
        </is>
      </c>
    </row>
    <row r="31">
      <c r="A31" s="8" t="inlineStr">
        <is>
          <t>Cấp tác vụ</t>
        </is>
      </c>
      <c r="B31" s="8" t="inlineStr">
        <is>
          <t>Tỉ lệ request</t>
        </is>
      </c>
      <c r="C31" s="8" t="inlineStr">
        <is>
          <t>Request/tháng</t>
        </is>
      </c>
      <c r="D31" s="8" t="inlineStr">
        <is>
          <t>Token vào/request</t>
        </is>
      </c>
      <c r="E31" s="8" t="inlineStr">
        <is>
          <t>Token ra/request</t>
        </is>
      </c>
      <c r="F31" s="8" t="inlineStr">
        <is>
          <t>Model</t>
        </is>
      </c>
      <c r="G31" s="8" t="inlineStr">
        <is>
          <t>Triệu token vào/tháng</t>
        </is>
      </c>
      <c r="H31" s="8" t="inlineStr">
        <is>
          <t>Triệu token ra/tháng</t>
        </is>
      </c>
      <c r="I31" s="8" t="inlineStr">
        <is>
          <t>USD input</t>
        </is>
      </c>
      <c r="J31" s="8" t="inlineStr">
        <is>
          <t>USD output</t>
        </is>
      </c>
      <c r="K31" s="8" t="inlineStr">
        <is>
          <t>USD tổng</t>
        </is>
      </c>
      <c r="L31" s="8" t="inlineStr">
        <is>
          <t>% chạy sandbox</t>
        </is>
      </c>
      <c r="M31" s="8" t="inlineStr">
        <is>
          <t>Lượt sandbox/tháng</t>
        </is>
      </c>
    </row>
    <row r="32">
      <c r="A32" t="inlineStr">
        <is>
          <t>Cấp 1 – Email, hỏi đáp (RAG)</t>
        </is>
      </c>
      <c r="B32" s="32" t="n">
        <v>0.45</v>
      </c>
      <c r="C32" s="30">
        <f>$B$14*B32</f>
        <v/>
      </c>
      <c r="D32" s="36" t="n">
        <v>3000</v>
      </c>
      <c r="E32" s="36" t="n">
        <v>400</v>
      </c>
      <c r="F32" s="29" t="inlineStr">
        <is>
          <t>Nhỏ</t>
        </is>
      </c>
      <c r="G32" s="37">
        <f>C32*D32/1000000</f>
        <v/>
      </c>
      <c r="H32" s="37">
        <f>C32*E32/1000000</f>
        <v/>
      </c>
      <c r="I32" s="38">
        <f>G32*IF(F32="Nhỏ",$G$23,$G$24)</f>
        <v/>
      </c>
      <c r="J32" s="38">
        <f>H32*IF(F32="Nhỏ",$E$23,$E$24)</f>
        <v/>
      </c>
      <c r="K32" s="38">
        <f>I32+J32</f>
        <v/>
      </c>
      <c r="L32" s="32" t="n">
        <v>0</v>
      </c>
      <c r="M32" s="30">
        <f>C32*L32</f>
        <v/>
      </c>
    </row>
    <row r="33">
      <c r="A33" t="inlineStr">
        <is>
          <t>Cấp 2 – Tài liệu, slide (DOCX/XLSX/PPTX)</t>
        </is>
      </c>
      <c r="B33" s="32" t="n">
        <v>0.2</v>
      </c>
      <c r="C33" s="30">
        <f>$B$14*B33</f>
        <v/>
      </c>
      <c r="D33" s="36" t="n">
        <v>5000</v>
      </c>
      <c r="E33" s="36" t="n">
        <v>1500</v>
      </c>
      <c r="F33" s="29" t="inlineStr">
        <is>
          <t>Nhỏ</t>
        </is>
      </c>
      <c r="G33" s="37">
        <f>C33*D33/1000000</f>
        <v/>
      </c>
      <c r="H33" s="37">
        <f>C33*E33/1000000</f>
        <v/>
      </c>
      <c r="I33" s="38">
        <f>G33*IF(F33="Nhỏ",$G$23,$G$24)</f>
        <v/>
      </c>
      <c r="J33" s="38">
        <f>H33*IF(F33="Nhỏ",$E$23,$E$24)</f>
        <v/>
      </c>
      <c r="K33" s="38">
        <f>I33+J33</f>
        <v/>
      </c>
      <c r="L33" s="32" t="n">
        <v>0.3</v>
      </c>
      <c r="M33" s="30">
        <f>C33*L33</f>
        <v/>
      </c>
    </row>
    <row r="34">
      <c r="A34" t="inlineStr">
        <is>
          <t>Cấp 3 – Dữ liệu, code (sandbox)</t>
        </is>
      </c>
      <c r="B34" s="32" t="n">
        <v>0.15</v>
      </c>
      <c r="C34" s="30">
        <f>$B$14*B34</f>
        <v/>
      </c>
      <c r="D34" s="36" t="n">
        <v>8000</v>
      </c>
      <c r="E34" s="36" t="n">
        <v>1500</v>
      </c>
      <c r="F34" s="29" t="inlineStr">
        <is>
          <t>Lớn</t>
        </is>
      </c>
      <c r="G34" s="37">
        <f>C34*D34/1000000</f>
        <v/>
      </c>
      <c r="H34" s="37">
        <f>C34*E34/1000000</f>
        <v/>
      </c>
      <c r="I34" s="38">
        <f>G34*IF(F34="Nhỏ",$G$23,$G$24)</f>
        <v/>
      </c>
      <c r="J34" s="38">
        <f>H34*IF(F34="Nhỏ",$E$23,$E$24)</f>
        <v/>
      </c>
      <c r="K34" s="38">
        <f>I34+J34</f>
        <v/>
      </c>
      <c r="L34" s="32" t="n">
        <v>1</v>
      </c>
      <c r="M34" s="30">
        <f>C34*L34</f>
        <v/>
      </c>
    </row>
    <row r="35">
      <c r="A35" t="inlineStr">
        <is>
          <t>Cấp 4 – Agent dự án nhiều bước</t>
        </is>
      </c>
      <c r="B35" s="32" t="n">
        <v>0.12</v>
      </c>
      <c r="C35" s="30">
        <f>$B$14*B35</f>
        <v/>
      </c>
      <c r="D35" s="36" t="n">
        <v>25000</v>
      </c>
      <c r="E35" s="36" t="n">
        <v>3000</v>
      </c>
      <c r="F35" s="29" t="inlineStr">
        <is>
          <t>Lớn</t>
        </is>
      </c>
      <c r="G35" s="37">
        <f>C35*D35/1000000</f>
        <v/>
      </c>
      <c r="H35" s="37">
        <f>C35*E35/1000000</f>
        <v/>
      </c>
      <c r="I35" s="38">
        <f>G35*IF(F35="Nhỏ",$G$23,$G$24)</f>
        <v/>
      </c>
      <c r="J35" s="38">
        <f>H35*IF(F35="Nhỏ",$E$23,$E$24)</f>
        <v/>
      </c>
      <c r="K35" s="38">
        <f>I35+J35</f>
        <v/>
      </c>
      <c r="L35" s="32" t="n">
        <v>0.2</v>
      </c>
      <c r="M35" s="30">
        <f>C35*L35</f>
        <v/>
      </c>
    </row>
    <row r="36">
      <c r="A36" t="inlineStr">
        <is>
          <t>Cấp 5 – Thiết kế, ảnh minh họa</t>
        </is>
      </c>
      <c r="B36" s="32" t="n">
        <v>0.08</v>
      </c>
      <c r="C36" s="30">
        <f>$B$14*B36</f>
        <v/>
      </c>
      <c r="D36" s="36" t="n">
        <v>2000</v>
      </c>
      <c r="E36" s="36" t="n">
        <v>500</v>
      </c>
      <c r="F36" s="29" t="inlineStr">
        <is>
          <t>Nhỏ</t>
        </is>
      </c>
      <c r="G36" s="37">
        <f>C36*D36/1000000</f>
        <v/>
      </c>
      <c r="H36" s="37">
        <f>C36*E36/1000000</f>
        <v/>
      </c>
      <c r="I36" s="38">
        <f>G36*IF(F36="Nhỏ",$G$23,$G$24)</f>
        <v/>
      </c>
      <c r="J36" s="38">
        <f>H36*IF(F36="Nhỏ",$E$23,$E$24)</f>
        <v/>
      </c>
      <c r="K36" s="38">
        <f>I36+J36</f>
        <v/>
      </c>
      <c r="L36" s="32" t="n">
        <v>0.3</v>
      </c>
      <c r="M36" s="30">
        <f>C36*L36</f>
        <v/>
      </c>
    </row>
    <row r="37">
      <c r="A37" s="2" t="inlineStr">
        <is>
          <t>TỔNG</t>
        </is>
      </c>
      <c r="B37" s="39">
        <f>SUM(B32:B36)</f>
        <v/>
      </c>
      <c r="C37" s="40">
        <f>SUM(C32:C36)</f>
        <v/>
      </c>
      <c r="D37" s="3">
        <f>IF(ABS(B37-1)&lt;0.001,"Tỉ lệ OK","Tổng tỉ lệ phải = 100%")</f>
        <v/>
      </c>
      <c r="G37" s="41">
        <f>SUM(G32:G36)</f>
        <v/>
      </c>
      <c r="H37" s="41">
        <f>SUM(H32:H36)</f>
        <v/>
      </c>
      <c r="I37" s="42">
        <f>SUM(I32:I36)</f>
        <v/>
      </c>
      <c r="J37" s="42">
        <f>SUM(J32:J36)</f>
        <v/>
      </c>
      <c r="K37" s="42">
        <f>SUM(K32:K36)</f>
        <v/>
      </c>
      <c r="M37" s="40">
        <f>SUM(M32:M36)</f>
        <v/>
      </c>
    </row>
    <row r="38">
      <c r="A38" s="13" t="inlineStr">
        <is>
          <t>Cấp 4: agent ~5 bước, mỗi bước mang lại context → token vào lớn. Cấp 1: context RAG ~5 đoạn × 500 token.</t>
        </is>
      </c>
    </row>
    <row r="40">
      <c r="A40" s="23" t="inlineStr">
        <is>
          <t>5. Kết quả LLM (BaoGia lấy thẳng từ các ô này)</t>
        </is>
      </c>
    </row>
    <row r="41">
      <c r="A41" s="25" t="inlineStr">
        <is>
          <t>LLM model nhỏ</t>
        </is>
      </c>
      <c r="B41" s="38">
        <f>SUMIF(F32:F36,"Nhỏ",K32:K36)</f>
        <v/>
      </c>
      <c r="C41" t="inlineStr">
        <is>
          <t>USD/tháng</t>
        </is>
      </c>
      <c r="D41" s="27" t="inlineStr">
        <is>
          <t>→ BaoGia dòng llm (model nhỏ)</t>
        </is>
      </c>
    </row>
    <row r="42">
      <c r="A42" s="25" t="inlineStr">
        <is>
          <t>LLM model lớn</t>
        </is>
      </c>
      <c r="B42" s="38">
        <f>SUMIF(F32:F36,"Lớn",K32:K36)</f>
        <v/>
      </c>
      <c r="C42" t="inlineStr">
        <is>
          <t>USD/tháng</t>
        </is>
      </c>
      <c r="D42" s="27" t="inlineStr">
        <is>
          <t>→ BaoGia dòng llm (model lớn)</t>
        </is>
      </c>
    </row>
    <row r="43">
      <c r="A43" s="25" t="inlineStr">
        <is>
          <t>Số ảnh sinh mỗi tháng</t>
        </is>
      </c>
      <c r="B43" s="30">
        <f>C36*$B$27</f>
        <v/>
      </c>
      <c r="C43" t="inlineStr">
        <is>
          <t>ảnh</t>
        </is>
      </c>
      <c r="D43" s="27" t="inlineStr"/>
    </row>
    <row r="44">
      <c r="A44" s="25" t="inlineStr">
        <is>
          <t>Sinh ảnh</t>
        </is>
      </c>
      <c r="B44" s="38">
        <f>$B$43*$B$26</f>
        <v/>
      </c>
      <c r="C44" t="inlineStr">
        <is>
          <t>USD/tháng</t>
        </is>
      </c>
      <c r="D44" s="27" t="inlineStr">
        <is>
          <t>→ BaoGia dòng llm (sinh ảnh)</t>
        </is>
      </c>
    </row>
    <row r="45">
      <c r="A45" s="25" t="inlineStr">
        <is>
          <t>Token ra/giây giờ cao điểm</t>
        </is>
      </c>
      <c r="B45" s="30">
        <f>H37*1000000/($B$6*$B$7*3600)*$B$13</f>
        <v/>
      </c>
      <c r="C45" t="inlineStr">
        <is>
          <t>token/s</t>
        </is>
      </c>
      <c r="D45" s="27" t="inlineStr">
        <is>
          <t>Nếu tự host: so với throughput 1 GPU để ra số GPU</t>
        </is>
      </c>
    </row>
    <row r="47">
      <c r="A47" s="23" t="inlineStr">
        <is>
          <t>6. Guardrail và eval gate (governance)</t>
        </is>
      </c>
    </row>
    <row r="48">
      <c r="A48" s="25" t="inlineStr">
        <is>
          <t>Token vào mỗi lần kiểm guardrail</t>
        </is>
      </c>
      <c r="B48" s="29" t="n">
        <v>800</v>
      </c>
      <c r="C48" t="inlineStr">
        <is>
          <t>token</t>
        </is>
      </c>
      <c r="D48" s="27" t="inlineStr">
        <is>
          <t>Nếu dùng LLM nhỏ làm guardrail. Dùng dịch vụ managed thì tính theo đơn giá dịch vụ đó.</t>
        </is>
      </c>
    </row>
    <row r="49">
      <c r="A49" s="25" t="inlineStr">
        <is>
          <t>Token ra mỗi lần kiểm guardrail</t>
        </is>
      </c>
      <c r="B49" s="29" t="n">
        <v>20</v>
      </c>
      <c r="C49" t="inlineStr">
        <is>
          <t>token</t>
        </is>
      </c>
      <c r="D49" s="27" t="inlineStr"/>
    </row>
    <row r="50">
      <c r="A50" s="25" t="inlineStr">
        <is>
          <t>Số lần kiểm mỗi request (vào + ra)</t>
        </is>
      </c>
      <c r="B50" s="29" t="n">
        <v>2</v>
      </c>
      <c r="C50" t="inlineStr">
        <is>
          <t>lần</t>
        </is>
      </c>
      <c r="D50" s="27" t="inlineStr"/>
    </row>
    <row r="51">
      <c r="A51" s="25" t="inlineStr">
        <is>
          <t>Chi phí guardrail</t>
        </is>
      </c>
      <c r="B51" s="38">
        <f>$B$14*$B$50*($B$48*$G$23+$B$49*$E$23)/1000000</f>
        <v/>
      </c>
      <c r="C51" t="inlineStr">
        <is>
          <t>USD/tháng</t>
        </is>
      </c>
      <c r="D51" s="27" t="inlineStr">
        <is>
          <t>→ BaoGia dòng governance (guardrail)</t>
        </is>
      </c>
    </row>
    <row r="52">
      <c r="A52" s="25" t="inlineStr">
        <is>
          <t>Số lần chạy eval gate mỗi tháng</t>
        </is>
      </c>
      <c r="B52" s="29" t="n">
        <v>2</v>
      </c>
      <c r="C52" t="inlineStr">
        <is>
          <t>lần</t>
        </is>
      </c>
      <c r="D52" s="27" t="inlineStr">
        <is>
          <t>Mỗi lần đổi model/prompt</t>
        </is>
      </c>
    </row>
    <row r="53">
      <c r="A53" s="25" t="inlineStr">
        <is>
          <t>Số case trong bộ eval</t>
        </is>
      </c>
      <c r="B53" s="29" t="n">
        <v>500</v>
      </c>
      <c r="C53" t="inlineStr">
        <is>
          <t>case</t>
        </is>
      </c>
      <c r="D53" s="27" t="inlineStr">
        <is>
          <t>Chạy trên model lớn, gồm cả LLM-judge</t>
        </is>
      </c>
    </row>
    <row r="54">
      <c r="A54" s="25" t="inlineStr">
        <is>
          <t>Token vào mỗi case</t>
        </is>
      </c>
      <c r="B54" s="29" t="n">
        <v>4000</v>
      </c>
      <c r="C54" t="inlineStr">
        <is>
          <t>token</t>
        </is>
      </c>
      <c r="D54" s="27" t="inlineStr"/>
    </row>
    <row r="55">
      <c r="A55" s="25" t="inlineStr">
        <is>
          <t>Token ra mỗi case</t>
        </is>
      </c>
      <c r="B55" s="29" t="n">
        <v>800</v>
      </c>
      <c r="C55" t="inlineStr">
        <is>
          <t>token</t>
        </is>
      </c>
      <c r="D55" s="27" t="inlineStr"/>
    </row>
    <row r="56">
      <c r="A56" s="25" t="inlineStr">
        <is>
          <t>Chi phí eval gate</t>
        </is>
      </c>
      <c r="B56" s="38">
        <f>$B$52*$B$53*($B$54*$G$24+$B$55*$E$24)/1000000</f>
        <v/>
      </c>
      <c r="C56" t="inlineStr">
        <is>
          <t>USD/tháng</t>
        </is>
      </c>
      <c r="D56" s="27" t="inlineStr">
        <is>
          <t>→ BaoGia dòng governance (eval gate)</t>
        </is>
      </c>
    </row>
    <row r="58">
      <c r="A58" s="23" t="inlineStr">
        <is>
          <t>7. Embedding và vector</t>
        </is>
      </c>
    </row>
    <row r="59">
      <c r="A59" s="25" t="inlineStr">
        <is>
          <t>Số tài liệu trong knowledge base</t>
        </is>
      </c>
      <c r="B59" s="36" t="n">
        <v>200000</v>
      </c>
      <c r="C59" t="inlineStr">
        <is>
          <t>tài liệu</t>
        </is>
      </c>
      <c r="D59" s="27" t="inlineStr">
        <is>
          <t>Drive, SharePoint, Confluence, Notion được index</t>
        </is>
      </c>
    </row>
    <row r="60">
      <c r="A60" s="25" t="inlineStr">
        <is>
          <t>Token trung bình mỗi tài liệu</t>
        </is>
      </c>
      <c r="B60" s="36" t="n">
        <v>2000</v>
      </c>
      <c r="C60" t="inlineStr">
        <is>
          <t>token</t>
        </is>
      </c>
      <c r="D60" s="27" t="inlineStr"/>
    </row>
    <row r="61">
      <c r="A61" s="25" t="inlineStr">
        <is>
          <t>Tỉ lệ tài liệu thay đổi mỗi tháng</t>
        </is>
      </c>
      <c r="B61" s="32" t="n">
        <v>0.1</v>
      </c>
      <c r="C61" t="inlineStr">
        <is>
          <t>%</t>
        </is>
      </c>
      <c r="D61" s="27" t="inlineStr">
        <is>
          <t>Phải embed lại</t>
        </is>
      </c>
    </row>
    <row r="62">
      <c r="A62" s="25" t="inlineStr">
        <is>
          <t>Chia chi phí index lần đầu cho</t>
        </is>
      </c>
      <c r="B62" s="29" t="n">
        <v>12</v>
      </c>
      <c r="C62" t="inlineStr">
        <is>
          <t>tháng</t>
        </is>
      </c>
      <c r="D62" s="27" t="inlineStr">
        <is>
          <t>Ghi rõ giả định này trong Ghi chú</t>
        </is>
      </c>
    </row>
    <row r="63">
      <c r="A63" s="25" t="inlineStr">
        <is>
          <t>Token embed câu hỏi mỗi request</t>
        </is>
      </c>
      <c r="B63" s="29" t="n">
        <v>100</v>
      </c>
      <c r="C63" t="inlineStr">
        <is>
          <t>token</t>
        </is>
      </c>
      <c r="D63" s="27" t="inlineStr"/>
    </row>
    <row r="64">
      <c r="A64" s="25" t="inlineStr">
        <is>
          <t>Token index lần đầu</t>
        </is>
      </c>
      <c r="B64" s="30">
        <f>$B$59*$B$60/1000000</f>
        <v/>
      </c>
      <c r="C64" t="inlineStr">
        <is>
          <t>triệu token</t>
        </is>
      </c>
      <c r="D64" s="27" t="inlineStr"/>
    </row>
    <row r="65">
      <c r="A65" s="25" t="inlineStr">
        <is>
          <t>Token embedding mỗi tháng</t>
        </is>
      </c>
      <c r="B65" s="37">
        <f>$B$64/$B$62+$B$64*$B$61+$B$14*$B$63/1000000</f>
        <v/>
      </c>
      <c r="C65" t="inlineStr">
        <is>
          <t>triệu token</t>
        </is>
      </c>
      <c r="D65" s="27" t="inlineStr"/>
    </row>
    <row r="66">
      <c r="A66" s="25" t="inlineStr">
        <is>
          <t>Chi phí embedding</t>
        </is>
      </c>
      <c r="B66" s="38">
        <f>$B$65*$B$28</f>
        <v/>
      </c>
      <c r="C66" t="inlineStr">
        <is>
          <t>USD/tháng</t>
        </is>
      </c>
      <c r="D66" s="27" t="inlineStr">
        <is>
          <t>→ BaoGia dòng embedding</t>
        </is>
      </c>
    </row>
    <row r="67">
      <c r="A67" s="25" t="inlineStr">
        <is>
          <t>Token mỗi chunk</t>
        </is>
      </c>
      <c r="B67" s="29" t="n">
        <v>500</v>
      </c>
      <c r="C67" t="inlineStr">
        <is>
          <t>token</t>
        </is>
      </c>
      <c r="D67" s="27" t="inlineStr"/>
    </row>
    <row r="68">
      <c r="A68" s="25" t="inlineStr">
        <is>
          <t>Số chiều vector</t>
        </is>
      </c>
      <c r="B68" s="29" t="n">
        <v>1024</v>
      </c>
      <c r="C68" t="inlineStr">
        <is>
          <t>chiều</t>
        </is>
      </c>
      <c r="D68" s="27" t="inlineStr"/>
    </row>
    <row r="69">
      <c r="A69" s="25" t="inlineStr">
        <is>
          <t>Số vector</t>
        </is>
      </c>
      <c r="B69" s="30">
        <f>$B$59*$B$60/$B$67</f>
        <v/>
      </c>
      <c r="C69" t="inlineStr">
        <is>
          <t>vector</t>
        </is>
      </c>
      <c r="D69" s="27" t="inlineStr">
        <is>
          <t>→ sizing vector_db</t>
        </is>
      </c>
    </row>
    <row r="70">
      <c r="A70" s="25" t="inlineStr">
        <is>
          <t>Dung lượng vector thô</t>
        </is>
      </c>
      <c r="B70" s="43">
        <f>$B$69*$B$68*4/1000000000</f>
        <v/>
      </c>
      <c r="C70" t="inlineStr">
        <is>
          <t>GB</t>
        </is>
      </c>
      <c r="D70" s="27" t="inlineStr">
        <is>
          <t>Chưa tính overhead index (×1,5–2)</t>
        </is>
      </c>
    </row>
    <row r="72">
      <c r="A72" s="23" t="inlineStr">
        <is>
          <t>8. Sandbox</t>
        </is>
      </c>
    </row>
    <row r="73">
      <c r="A73" s="25" t="inlineStr">
        <is>
          <t>Lượt sandbox mỗi tháng</t>
        </is>
      </c>
      <c r="B73" s="30">
        <f>M37</f>
        <v/>
      </c>
      <c r="C73" t="inlineStr">
        <is>
          <t>lượt</t>
        </is>
      </c>
      <c r="D73" s="27" t="inlineStr">
        <is>
          <t>Từ cột "% chạy sandbox" ở bảng 4</t>
        </is>
      </c>
    </row>
    <row r="74">
      <c r="A74" s="25" t="inlineStr">
        <is>
          <t>Thời gian trung bình mỗi lượt</t>
        </is>
      </c>
      <c r="B74" s="29" t="n">
        <v>45</v>
      </c>
      <c r="C74" t="inlineStr">
        <is>
          <t>giây</t>
        </is>
      </c>
      <c r="D74" s="27" t="inlineStr"/>
    </row>
    <row r="75">
      <c r="A75" s="25" t="inlineStr">
        <is>
          <t>vCPU mỗi sandbox</t>
        </is>
      </c>
      <c r="B75" s="29" t="n">
        <v>1</v>
      </c>
      <c r="C75" t="inlineStr">
        <is>
          <t>vCPU</t>
        </is>
      </c>
      <c r="D75" s="27" t="inlineStr">
        <is>
          <t>RAM tương ứng ghi ở Ghi chú, ví dụ 2 GB</t>
        </is>
      </c>
    </row>
    <row r="76">
      <c r="A76" s="25" t="inlineStr">
        <is>
          <t>Giờ sandbox mỗi tháng</t>
        </is>
      </c>
      <c r="B76" s="37">
        <f>$B$73*$B$74/3600</f>
        <v/>
      </c>
      <c r="C76" t="inlineStr">
        <is>
          <t>giờ</t>
        </is>
      </c>
      <c r="D76" s="27" t="inlineStr"/>
    </row>
    <row r="77">
      <c r="A77" s="25" t="inlineStr">
        <is>
          <t>Sandbox đồng thời giờ cao điểm</t>
        </is>
      </c>
      <c r="B77" s="43">
        <f>$B$73/($B$6*$B$7*3600)*$B$74*$B$13</f>
        <v/>
      </c>
      <c r="C77" t="inlineStr">
        <is>
          <t>sandbox</t>
        </is>
      </c>
      <c r="D77" s="27" t="inlineStr"/>
    </row>
    <row r="78">
      <c r="A78" s="25" t="inlineStr">
        <is>
          <t>vCPU mỗi node sandbox</t>
        </is>
      </c>
      <c r="B78" s="29" t="n">
        <v>4</v>
      </c>
      <c r="C78" t="inlineStr">
        <is>
          <t>vCPU</t>
        </is>
      </c>
      <c r="D78" s="27" t="inlineStr"/>
    </row>
    <row r="79">
      <c r="A79" s="25" t="inlineStr">
        <is>
          <t>Mức dùng tối đa mỗi node</t>
        </is>
      </c>
      <c r="B79" s="32" t="n">
        <v>0.7</v>
      </c>
      <c r="C79" t="inlineStr">
        <is>
          <t>%</t>
        </is>
      </c>
      <c r="D79" s="27" t="inlineStr"/>
    </row>
    <row r="80">
      <c r="A80" s="25" t="inlineStr">
        <is>
          <t>Số node sandbox giờ cao điểm</t>
        </is>
      </c>
      <c r="B80" s="28">
        <f>MAX(2,ROUNDUP($B$77*$B$75/($B$78*$B$79),0))</f>
        <v/>
      </c>
      <c r="C80" t="inlineStr">
        <is>
          <t>node</t>
        </is>
      </c>
      <c r="D80" s="27" t="inlineStr">
        <is>
          <t>Tối thiểu 2 (2 AZ). Ngoài giờ có thể scale về 0 → tính 220h</t>
        </is>
      </c>
    </row>
    <row r="82">
      <c r="A82" s="23" t="inlineStr">
        <is>
          <t>9. Lưu trữ</t>
        </is>
      </c>
    </row>
    <row r="83">
      <c r="A83" s="25" t="inlineStr">
        <is>
          <t>Dung lượng workspace dùng thực tế mỗi người</t>
        </is>
      </c>
      <c r="B83" s="29" t="n">
        <v>2</v>
      </c>
      <c r="C83" t="inlineStr">
        <is>
          <t>GB</t>
        </is>
      </c>
      <c r="D83" s="27" t="inlineStr">
        <is>
          <t>Quota 10 GB là trần, không phải mức dùng trung bình</t>
        </is>
      </c>
    </row>
    <row r="84">
      <c r="A84" s="25" t="inlineStr">
        <is>
          <t>Tổng workspace</t>
        </is>
      </c>
      <c r="B84" s="30">
        <f>$B$5*$B$83</f>
        <v/>
      </c>
      <c r="C84" t="inlineStr">
        <is>
          <t>GB</t>
        </is>
      </c>
      <c r="D84" s="27" t="inlineStr">
        <is>
          <t>→ object_storage</t>
        </is>
      </c>
    </row>
    <row r="85">
      <c r="A85" s="25" t="inlineStr">
        <is>
          <t>Lịch sử chat + metadata mỗi request</t>
        </is>
      </c>
      <c r="B85" s="29" t="n">
        <v>10</v>
      </c>
      <c r="C85" t="inlineStr">
        <is>
          <t>KB</t>
        </is>
      </c>
      <c r="D85" s="27" t="inlineStr"/>
    </row>
    <row r="86">
      <c r="A86" s="25" t="inlineStr">
        <is>
          <t>Lịch sử chat tích lũy 12 tháng</t>
        </is>
      </c>
      <c r="B86" s="37">
        <f>$B$14*$B$85*12/1000000</f>
        <v/>
      </c>
      <c r="C86" t="inlineStr">
        <is>
          <t>GB</t>
        </is>
      </c>
      <c r="D86" s="27" t="inlineStr">
        <is>
          <t>→ database</t>
        </is>
      </c>
    </row>
    <row r="87">
      <c r="A87" s="25" t="inlineStr">
        <is>
          <t>Log + audit mỗi request (gồm tool call)</t>
        </is>
      </c>
      <c r="B87" s="29" t="n">
        <v>20</v>
      </c>
      <c r="C87" t="inlineStr">
        <is>
          <t>KB</t>
        </is>
      </c>
      <c r="D87" s="27" t="inlineStr"/>
    </row>
    <row r="88">
      <c r="A88" s="25" t="inlineStr">
        <is>
          <t>Log + audit mỗi tháng</t>
        </is>
      </c>
      <c r="B88" s="37">
        <f>$B$14*$B$87/1000000</f>
        <v/>
      </c>
      <c r="C88" t="inlineStr">
        <is>
          <t>GB</t>
        </is>
      </c>
      <c r="D88" s="27" t="inlineStr">
        <is>
          <t>→ monitoring (ingest)</t>
        </is>
      </c>
    </row>
    <row r="89">
      <c r="A89" s="25" t="inlineStr">
        <is>
          <t>Audit giữ 12 tháng (H5)</t>
        </is>
      </c>
      <c r="B89" s="37">
        <f>$B$88*12</f>
        <v/>
      </c>
      <c r="C89" t="inlineStr">
        <is>
          <t>GB</t>
        </is>
      </c>
      <c r="D89" s="27" t="inlineStr">
        <is>
          <t>→ monitoring / object_storage lớp lạnh</t>
        </is>
      </c>
    </row>
    <row r="91">
      <c r="A91" s="23" t="inlineStr">
        <is>
          <t>10. Connectors và mạng</t>
        </is>
      </c>
    </row>
    <row r="92">
      <c r="A92" s="25" t="inlineStr">
        <is>
          <t>Lệnh gọi connector trung bình mỗi request</t>
        </is>
      </c>
      <c r="B92" s="29" t="n">
        <v>3</v>
      </c>
      <c r="C92" t="inlineStr">
        <is>
          <t>lệnh</t>
        </is>
      </c>
      <c r="D92" s="27" t="inlineStr">
        <is>
          <t>Gmail, Drive, Jira…</t>
        </is>
      </c>
    </row>
    <row r="93">
      <c r="A93" s="25" t="inlineStr">
        <is>
          <t>Lệnh gọi connector mỗi tháng</t>
        </is>
      </c>
      <c r="B93" s="30">
        <f>$B$14*$B$92</f>
        <v/>
      </c>
      <c r="C93" t="inlineStr">
        <is>
          <t>lệnh</t>
        </is>
      </c>
      <c r="D93" s="27" t="inlineStr">
        <is>
          <t>So với rate limit của từng SaaS</t>
        </is>
      </c>
    </row>
    <row r="94">
      <c r="A94" s="25" t="inlineStr">
        <is>
          <t>Dữ liệu trung bình mỗi lệnh gọi</t>
        </is>
      </c>
      <c r="B94" s="29" t="n">
        <v>30</v>
      </c>
      <c r="C94" t="inlineStr">
        <is>
          <t>KB</t>
        </is>
      </c>
      <c r="D94" s="27" t="inlineStr"/>
    </row>
    <row r="95">
      <c r="A95" s="25" t="inlineStr">
        <is>
          <t>Dữ liệu qua NAT mỗi tháng</t>
        </is>
      </c>
      <c r="B95" s="37">
        <f>$B$93*$B$94/1000000</f>
        <v/>
      </c>
      <c r="C95" t="inlineStr">
        <is>
          <t>GB</t>
        </is>
      </c>
      <c r="D95" s="27" t="inlineStr">
        <is>
          <t>→ network (NAT tính phí theo GB xử lý)</t>
        </is>
      </c>
    </row>
    <row r="96">
      <c r="A96" s="25" t="inlineStr">
        <is>
          <t>Dữ liệu trả về người dùng mỗi request</t>
        </is>
      </c>
      <c r="B96" s="29" t="n">
        <v>50</v>
      </c>
      <c r="C96" t="inlineStr">
        <is>
          <t>KB</t>
        </is>
      </c>
      <c r="D96" s="27" t="inlineStr"/>
    </row>
    <row r="97">
      <c r="A97" s="25" t="inlineStr">
        <is>
          <t>Egress ra internet mỗi tháng</t>
        </is>
      </c>
      <c r="B97" s="37">
        <f>$B$14*$B$96/1000000</f>
        <v/>
      </c>
      <c r="C97" t="inlineStr">
        <is>
          <t>GB</t>
        </is>
      </c>
      <c r="D97" s="27" t="inlineStr">
        <is>
          <t>→ network (egress)</t>
        </is>
      </c>
    </row>
  </sheetData>
  <dataValidations count="1">
    <dataValidation sqref="F32 F33 F34 F35 F36" showDropDown="0" showInputMessage="0" showErrorMessage="0" allowBlank="0" type="list">
      <formula1>"Nhỏ,Lớn"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2026-10-16T03:02:48Z</dcterms:created>
  <dcterms:modified xsi:type="dcterms:W3CDTF">2026-10-16T03:02:48Z</dcterms:modified>
</cp:coreProperties>
</file>